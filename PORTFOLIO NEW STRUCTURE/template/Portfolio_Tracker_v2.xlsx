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tings" sheetId="2" state="visible" r:id="rId2"/>
    <sheet name="History_Data" sheetId="3" state="visible" r:id="rId3"/>
    <sheet name="Live_Data" sheetId="4" state="visible" r:id="rId4"/>
    <sheet name="Allocation" sheetId="5" state="visible" r:id="rId5"/>
    <sheet name="Trends" sheetId="6" state="visible" r:id="rId6"/>
    <sheet name="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\-mm\-dd"/>
    <numFmt numFmtId="166" formatCode="yyyy\-mm\-dd\ h:mm:ss"/>
    <numFmt numFmtId="167" formatCode="yyyy-mm-dd"/>
    <numFmt numFmtId="168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6"/>
    </font>
    <font>
      <b val="1"/>
      <color rgb="001F3864"/>
    </font>
    <font>
      <i val="1"/>
      <color rgb="0066666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textRotation="45"/>
    </xf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8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Owner Split - IRT</a:t>
            </a:r>
          </a:p>
        </rich>
      </tx>
    </title>
    <plotArea>
      <pieChart>
        <varyColors val="1"/>
        <ser>
          <idx val="0"/>
          <order val="0"/>
          <tx>
            <strRef>
              <f>'Dashboard'!B9</f>
            </strRef>
          </tx>
          <spPr>
            <a:ln>
              <a:prstDash val="solid"/>
            </a:ln>
          </spPr>
          <cat>
            <numRef>
              <f>'Dashboard'!$A$10:$A$11</f>
            </numRef>
          </cat>
          <val>
            <numRef>
              <f>'Dashboard'!$B$10:$B$11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Asset-Class Allocation - IRT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>
              <a:prstDash val="solid"/>
            </a:ln>
          </spPr>
          <cat>
            <numRef>
              <f>'Dashboard'!$A$16:$A$20</f>
            </numRef>
          </cat>
          <val>
            <numRef>
              <f>'Dashboard'!$B$16:$B$20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Recent Net Worth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'Trends'!$B$2:$B$115</f>
            </numRef>
          </val>
        </ser>
        <ser>
          <idx val="1"/>
          <order val="1"/>
          <tx>
            <strRef>
              <f>'Trends'!C1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'Trends'!$C$2:$C$115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Allocation - IRT</a:t>
            </a:r>
          </a:p>
        </rich>
      </tx>
    </title>
    <plotArea>
      <pieChart>
        <varyColors val="1"/>
        <ser>
          <idx val="0"/>
          <order val="0"/>
          <tx>
            <strRef>
              <f>'Allocation'!D1</f>
            </strRef>
          </tx>
          <spPr>
            <a:ln>
              <a:prstDash val="solid"/>
            </a:ln>
          </spPr>
          <cat>
            <numRef>
              <f>'Allocation'!$C$2:$C$6</f>
            </numRef>
          </cat>
          <val>
            <numRef>
              <f>'Allocation'!$D$2:$D$6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Worth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'Trends'!$B$2:$B$115</f>
            </numRef>
          </val>
        </ser>
        <ser>
          <idx val="1"/>
          <order val="1"/>
          <tx>
            <strRef>
              <f>'Trends'!C1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'Trends'!$C$2:$C$115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Owner Values - IRT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'Trends'!$D$2:$D$115</f>
            </numRef>
          </val>
        </ser>
        <ser>
          <idx val="1"/>
          <order val="1"/>
          <tx>
            <strRef>
              <f>'Trends'!E1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'Trends'!$E$2:$E$115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Asset-Class Values - IRT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'Trends'!$F$2:$F$115</f>
            </numRef>
          </val>
        </ser>
        <ser>
          <idx val="1"/>
          <order val="1"/>
          <tx>
            <strRef>
              <f>'Trends'!G1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'Trends'!$G$2:$G$115</f>
            </numRef>
          </val>
        </ser>
        <ser>
          <idx val="2"/>
          <order val="2"/>
          <tx>
            <strRef>
              <f>'Trends'!H1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'Trends'!$H$2:$H$115</f>
            </numRef>
          </val>
        </ser>
        <ser>
          <idx val="3"/>
          <order val="3"/>
          <tx>
            <strRef>
              <f>'Trends'!I1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'Trends'!$I$2:$I$115</f>
            </numRef>
          </val>
        </ser>
        <ser>
          <idx val="4"/>
          <order val="4"/>
          <tx>
            <strRef>
              <f>'Trends'!J1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'Trends'!$A$2:$A$115</f>
            </numRef>
          </cat>
          <val>
            <numRef>
              <f>'Trends'!$J$2:$J$115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What-If Current Value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'Comparison'!F8</f>
            </strRef>
          </tx>
          <spPr>
            <a:ln>
              <a:prstDash val="solid"/>
            </a:ln>
          </spPr>
          <cat>
            <numRef>
              <f>'Comparison'!$A$9:$A$22</f>
            </numRef>
          </cat>
          <val>
            <numRef>
              <f>'Comparison'!$F$9:$F$22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23</row>
      <rowOff>0</rowOff>
    </from>
    <ext cx="36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22</row>
      <rowOff>0</rowOff>
    </from>
    <ext cx="36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38</row>
      <rowOff>0</rowOff>
    </from>
    <ext cx="64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39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117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134</row>
      <rowOff>0</rowOff>
    </from>
    <ext cx="64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istoryTable" displayName="HistoryTable" ref="A1:AS115" headerRowCount="1">
  <autoFilter ref="A1:AS115"/>
  <tableColumns count="45">
    <tableColumn id="1" name="Date"/>
    <tableColumn id="2" name="IRT_Mother_Gold"/>
    <tableColumn id="3" name="IRT_Mother_Cash"/>
    <tableColumn id="4" name="IRT_Mother_Stock"/>
    <tableColumn id="5" name="IRT_Mother_RealEstate"/>
    <tableColumn id="6" name="IRT_Mother_Crypto"/>
    <tableColumn id="7" name="IRT_Father_Gold"/>
    <tableColumn id="8" name="IRT_Father_Cash"/>
    <tableColumn id="9" name="IRT_Father_Stock"/>
    <tableColumn id="10" name="IRT_Father_RealEstate"/>
    <tableColumn id="11" name="IRT_Father_Crypto"/>
    <tableColumn id="12" name="IRT_Total_Gold"/>
    <tableColumn id="13" name="IRT_Total_Cash"/>
    <tableColumn id="14" name="IRT_Total_Stock"/>
    <tableColumn id="15" name="IRT_Total_RealEstate"/>
    <tableColumn id="16" name="IRT_Total_Crypto"/>
    <tableColumn id="17" name="USD_Mother_Gold"/>
    <tableColumn id="18" name="USD_Mother_Cash"/>
    <tableColumn id="19" name="USD_Mother_Stock"/>
    <tableColumn id="20" name="USD_Mother_RealEstate"/>
    <tableColumn id="21" name="USD_Mother_Crypto"/>
    <tableColumn id="22" name="USD_Father_Gold"/>
    <tableColumn id="23" name="USD_Father_Cash"/>
    <tableColumn id="24" name="USD_Father_Stock"/>
    <tableColumn id="25" name="USD_Father_RealEstate"/>
    <tableColumn id="26" name="USD_Father_Crypto"/>
    <tableColumn id="27" name="USD_Total_Gold"/>
    <tableColumn id="28" name="USD_Total_Cash"/>
    <tableColumn id="29" name="USD_Total_Stock"/>
    <tableColumn id="30" name="USD_Total_RealEstate"/>
    <tableColumn id="31" name="USD_Total_Crypto"/>
    <tableColumn id="32" name="Price_bitcoin_usd"/>
    <tableColumn id="33" name="Price_usdt_irt"/>
    <tableColumn id="34" name="Price_usd_cash"/>
    <tableColumn id="35" name="Price_emami_coin"/>
    <tableColumn id="36" name="Price_half_coin"/>
    <tableColumn id="37" name="Price_quarter_coin"/>
    <tableColumn id="38" name="Price_quarter_coin_pre86"/>
    <tableColumn id="39" name="Price_swiss_gold_bar_1g"/>
    <tableColumn id="40" name="Price_swiss_gold_bar_2_5g"/>
    <tableColumn id="41" name="Price_one_gram_coin"/>
    <tableColumn id="42" name="Price_gold_18k_gram"/>
    <tableColumn id="43" name="Price_kama_stock"/>
    <tableColumn id="44" name="Price_euro_cash"/>
    <tableColumn id="45" name="Price_gold_ounce_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vePriceTable" displayName="LivePriceTable" ref="A1:E15" headerRowCount="1">
  <autoFilter ref="A1:E15"/>
  <tableColumns count="5">
    <tableColumn id="1" name="Asset"/>
    <tableColumn id="2" name="Price"/>
    <tableColumn id="3" name="Unit"/>
    <tableColumn id="4" name="Price Key"/>
    <tableColumn id="5" name="Last Snapsh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ocationTable" displayName="AllocationTable" ref="A1:E31" headerRowCount="1">
  <autoFilter ref="A1:E31"/>
  <tableColumns count="5">
    <tableColumn id="1" name="Currency"/>
    <tableColumn id="2" name="Owner"/>
    <tableColumn id="3" name="Asset Class"/>
    <tableColumn id="4" name="Value"/>
    <tableColumn id="5" name="Sh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Table" displayName="TrendTable" ref="A1:J115" headerRowCount="1">
  <autoFilter ref="A1:J115"/>
  <tableColumns count="10">
    <tableColumn id="1" name="Date"/>
    <tableColumn id="2" name="Total IRT"/>
    <tableColumn id="3" name="Total USD"/>
    <tableColumn id="4" name="Mother IRT"/>
    <tableColumn id="5" name="Father IRT"/>
    <tableColumn id="6" name="Gold IRT"/>
    <tableColumn id="7" name="Cash IRT"/>
    <tableColumn id="8" name="Stock IRT"/>
    <tableColumn id="9" name="Real Estate IRT"/>
    <tableColumn id="10" name="Crypto IR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mparisonTable" displayName="ComparisonTable" ref="A8:G22" headerRowCount="1">
  <autoFilter ref="A8:G22"/>
  <tableColumns count="7">
    <tableColumn id="1" name="Asset"/>
    <tableColumn id="2" name="Price Key"/>
    <tableColumn id="3" name="Start Price"/>
    <tableColumn id="4" name="Latest Price"/>
    <tableColumn id="5" name="Units Bought"/>
    <tableColumn id="6" name="Current Value"/>
    <tableColumn id="7" name="Return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3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4.xml" Id="rId2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5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7" customWidth="1" min="3" max="3"/>
    <col width="18" customWidth="1" min="4" max="4"/>
    <col width="9" customWidth="1" min="5" max="5"/>
    <col width="9" customWidth="1" min="6" max="6"/>
    <col width="17" customWidth="1" min="7" max="7"/>
    <col width="10" customWidth="1" min="9" max="9"/>
    <col width="5" customWidth="1" min="10" max="10"/>
    <col width="9" customWidth="1" min="11" max="11"/>
    <col width="9" customWidth="1" min="12" max="12"/>
  </cols>
  <sheetData>
    <row r="1">
      <c r="A1" s="1" t="inlineStr">
        <is>
          <t>Portfolio Dashboard V2</t>
        </is>
      </c>
    </row>
    <row r="2">
      <c r="A2" s="2" t="inlineStr">
        <is>
          <t>Pure .xlsx dashboard generated from daily-average history</t>
        </is>
      </c>
    </row>
    <row r="3"/>
    <row r="4">
      <c r="A4" s="3" t="inlineStr">
        <is>
          <t>Total Net Worth (IRT)</t>
        </is>
      </c>
      <c r="D4" s="3" t="inlineStr">
        <is>
          <t>Total Net Worth (USD)</t>
        </is>
      </c>
      <c r="H4" s="3" t="inlineStr">
        <is>
          <t>Latest Date</t>
        </is>
      </c>
      <c r="K4" s="3" t="inlineStr">
        <is>
          <t>USD Rate</t>
        </is>
      </c>
    </row>
    <row r="5">
      <c r="A5" s="4" t="n">
        <v>23987529210</v>
      </c>
      <c r="D5" s="4" t="n">
        <v>124030.6577559462</v>
      </c>
      <c r="H5" s="5">
        <f>History_Data!A115</f>
        <v/>
      </c>
      <c r="K5" s="4">
        <f>Live_Data!B4</f>
        <v/>
      </c>
    </row>
    <row r="6"/>
    <row r="7"/>
    <row r="8">
      <c r="A8" s="6" t="inlineStr">
        <is>
          <t>Owner Split</t>
        </is>
      </c>
      <c r="H8" s="6" t="inlineStr">
        <is>
          <t>Latest Prices</t>
        </is>
      </c>
    </row>
    <row r="9">
      <c r="A9" s="7" t="inlineStr">
        <is>
          <t>Owner</t>
        </is>
      </c>
      <c r="B9" s="7" t="inlineStr">
        <is>
          <t>IRT</t>
        </is>
      </c>
      <c r="C9" s="7" t="inlineStr">
        <is>
          <t>USD</t>
        </is>
      </c>
      <c r="D9" s="7" t="inlineStr">
        <is>
          <t>Share</t>
        </is>
      </c>
      <c r="E9" s="7" t="n"/>
      <c r="F9" s="7" t="n"/>
      <c r="G9" s="7" t="n"/>
      <c r="H9" s="7" t="inlineStr">
        <is>
          <t>Asset</t>
        </is>
      </c>
      <c r="I9" s="7" t="inlineStr">
        <is>
          <t>Price</t>
        </is>
      </c>
      <c r="J9" s="7" t="inlineStr">
        <is>
          <t>Unit</t>
        </is>
      </c>
      <c r="K9" s="7" t="n"/>
    </row>
    <row r="10">
      <c r="A10" s="8" t="inlineStr">
        <is>
          <t>Mother</t>
        </is>
      </c>
      <c r="B10" s="9" t="n">
        <v>12172999210</v>
      </c>
      <c r="C10" s="9" t="n">
        <v>62942.08485005171</v>
      </c>
      <c r="D10" s="10">
        <f>IFERROR(B10/A5,0)</f>
        <v/>
      </c>
      <c r="H10" s="8">
        <f>Live_Data!A2</f>
        <v/>
      </c>
      <c r="I10" s="8">
        <f>Live_Data!B2</f>
        <v/>
      </c>
      <c r="J10" s="8">
        <f>Live_Data!C2</f>
        <v/>
      </c>
    </row>
    <row r="11">
      <c r="A11" s="8" t="inlineStr">
        <is>
          <t>Father</t>
        </is>
      </c>
      <c r="B11" s="9" t="n">
        <v>11814530000</v>
      </c>
      <c r="C11" s="9" t="n">
        <v>61088.57290589451</v>
      </c>
      <c r="D11" s="10">
        <f>IFERROR(B11/A5,0)</f>
        <v/>
      </c>
      <c r="H11" s="8">
        <f>Live_Data!A3</f>
        <v/>
      </c>
      <c r="I11" s="8">
        <f>Live_Data!B3</f>
        <v/>
      </c>
      <c r="J11" s="8">
        <f>Live_Data!C3</f>
        <v/>
      </c>
    </row>
    <row r="12">
      <c r="H12" s="8">
        <f>Live_Data!A4</f>
        <v/>
      </c>
      <c r="I12" s="8">
        <f>Live_Data!B4</f>
        <v/>
      </c>
      <c r="J12" s="8">
        <f>Live_Data!C4</f>
        <v/>
      </c>
    </row>
    <row r="13">
      <c r="H13" s="8">
        <f>Live_Data!A5</f>
        <v/>
      </c>
      <c r="I13" s="8">
        <f>Live_Data!B5</f>
        <v/>
      </c>
      <c r="J13" s="8">
        <f>Live_Data!C5</f>
        <v/>
      </c>
    </row>
    <row r="14">
      <c r="A14" s="6" t="inlineStr">
        <is>
          <t>Asset-Class Allocation</t>
        </is>
      </c>
      <c r="H14" s="8">
        <f>Live_Data!A6</f>
        <v/>
      </c>
      <c r="I14" s="8">
        <f>Live_Data!B6</f>
        <v/>
      </c>
      <c r="J14" s="8">
        <f>Live_Data!C6</f>
        <v/>
      </c>
    </row>
    <row r="15">
      <c r="A15" s="7" t="inlineStr">
        <is>
          <t>Class</t>
        </is>
      </c>
      <c r="B15" s="7" t="inlineStr">
        <is>
          <t>IRT</t>
        </is>
      </c>
      <c r="C15" s="7" t="inlineStr">
        <is>
          <t>USD</t>
        </is>
      </c>
      <c r="D15" s="7" t="inlineStr">
        <is>
          <t>IRT Share</t>
        </is>
      </c>
      <c r="E15" s="7" t="inlineStr">
        <is>
          <t>USD Share</t>
        </is>
      </c>
      <c r="F15" s="7" t="n"/>
      <c r="G15" s="7" t="n"/>
      <c r="H15" s="7">
        <f>Live_Data!A7</f>
        <v/>
      </c>
      <c r="I15" s="7">
        <f>Live_Data!B7</f>
        <v/>
      </c>
      <c r="J15" s="7">
        <f>Live_Data!C7</f>
        <v/>
      </c>
      <c r="K15" s="7" t="n"/>
    </row>
    <row r="16">
      <c r="A16" s="8" t="inlineStr">
        <is>
          <t>Gold</t>
        </is>
      </c>
      <c r="B16" s="9" t="n">
        <v>8575129210</v>
      </c>
      <c r="C16" s="9" t="n">
        <v>44338.82735263703</v>
      </c>
      <c r="D16" s="10">
        <f>IFERROR(B16/A5,0)</f>
        <v/>
      </c>
      <c r="E16" s="10">
        <f>IFERROR(C16/D5,0)</f>
        <v/>
      </c>
      <c r="H16" s="8">
        <f>Live_Data!A8</f>
        <v/>
      </c>
      <c r="I16" s="8">
        <f>Live_Data!B8</f>
        <v/>
      </c>
      <c r="J16" s="8">
        <f>Live_Data!C8</f>
        <v/>
      </c>
    </row>
    <row r="17">
      <c r="A17" s="8" t="inlineStr">
        <is>
          <t>Cash</t>
        </is>
      </c>
      <c r="B17" s="9" t="n">
        <v>676900000</v>
      </c>
      <c r="C17" s="9" t="n">
        <v>3500</v>
      </c>
      <c r="D17" s="10">
        <f>IFERROR(B17/A5,0)</f>
        <v/>
      </c>
      <c r="E17" s="10">
        <f>IFERROR(C17/D5,0)</f>
        <v/>
      </c>
      <c r="H17" s="8">
        <f>Live_Data!A9</f>
        <v/>
      </c>
      <c r="I17" s="8">
        <f>Live_Data!B9</f>
        <v/>
      </c>
      <c r="J17" s="8">
        <f>Live_Data!C9</f>
        <v/>
      </c>
    </row>
    <row r="18">
      <c r="A18" s="8" t="inlineStr">
        <is>
          <t>Stock</t>
        </is>
      </c>
      <c r="B18" s="9" t="n">
        <v>7017500000</v>
      </c>
      <c r="C18" s="9" t="n">
        <v>36284.90175801448</v>
      </c>
      <c r="D18" s="10">
        <f>IFERROR(B18/A5,0)</f>
        <v/>
      </c>
      <c r="E18" s="10">
        <f>IFERROR(C18/D5,0)</f>
        <v/>
      </c>
      <c r="H18" s="8">
        <f>Live_Data!A10</f>
        <v/>
      </c>
      <c r="I18" s="8">
        <f>Live_Data!B10</f>
        <v/>
      </c>
      <c r="J18" s="8">
        <f>Live_Data!C10</f>
        <v/>
      </c>
    </row>
    <row r="19">
      <c r="A19" s="8" t="inlineStr">
        <is>
          <t>Real Estate</t>
        </is>
      </c>
      <c r="B19" s="9" t="n">
        <v>7718000000</v>
      </c>
      <c r="C19" s="9" t="n">
        <v>39906.92864529473</v>
      </c>
      <c r="D19" s="10">
        <f>IFERROR(B19/A5,0)</f>
        <v/>
      </c>
      <c r="E19" s="10">
        <f>IFERROR(C19/D5,0)</f>
        <v/>
      </c>
      <c r="H19" s="8">
        <f>Live_Data!A11</f>
        <v/>
      </c>
      <c r="I19" s="8">
        <f>Live_Data!B11</f>
        <v/>
      </c>
      <c r="J19" s="8">
        <f>Live_Data!C11</f>
        <v/>
      </c>
    </row>
    <row r="20">
      <c r="A20" s="8" t="inlineStr">
        <is>
          <t>Crypto</t>
        </is>
      </c>
      <c r="B20" s="9" t="n">
        <v>0</v>
      </c>
      <c r="C20" s="9" t="n">
        <v>0</v>
      </c>
      <c r="D20" s="10">
        <f>IFERROR(B20/A5,0)</f>
        <v/>
      </c>
      <c r="E20" s="10">
        <f>IFERROR(C20/D5,0)</f>
        <v/>
      </c>
      <c r="H20" s="8">
        <f>Live_Data!A12</f>
        <v/>
      </c>
      <c r="I20" s="8">
        <f>Live_Data!B12</f>
        <v/>
      </c>
      <c r="J20" s="8">
        <f>Live_Data!C12</f>
        <v/>
      </c>
    </row>
    <row r="21">
      <c r="H21" s="8">
        <f>Live_Data!A13</f>
        <v/>
      </c>
      <c r="I21" s="8">
        <f>Live_Data!B13</f>
        <v/>
      </c>
      <c r="J21" s="8">
        <f>Live_Data!C13</f>
        <v/>
      </c>
    </row>
    <row r="22">
      <c r="H22" s="8">
        <f>Live_Data!A14</f>
        <v/>
      </c>
      <c r="I22" s="8">
        <f>Live_Data!B14</f>
        <v/>
      </c>
      <c r="J22" s="8">
        <f>Live_Data!C14</f>
        <v/>
      </c>
    </row>
    <row r="23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9" customWidth="1" min="3" max="3"/>
  </cols>
  <sheetData>
    <row r="1">
      <c r="A1" s="7" t="inlineStr">
        <is>
          <t>Setting</t>
        </is>
      </c>
      <c r="B1" s="7" t="inlineStr">
        <is>
          <t>Value</t>
        </is>
      </c>
      <c r="C1" s="7" t="inlineStr">
        <is>
          <t>Notes</t>
        </is>
      </c>
    </row>
    <row r="2">
      <c r="A2" s="8" t="inlineStr">
        <is>
          <t>Rolling Window</t>
        </is>
      </c>
      <c r="B2" s="9" t="n">
        <v>30</v>
      </c>
      <c r="C2" s="8" t="inlineStr">
        <is>
          <t>Trend rows shown in charts; use All for full history</t>
        </is>
      </c>
    </row>
    <row r="3">
      <c r="A3" s="8" t="inlineStr">
        <is>
          <t>Selected Currency</t>
        </is>
      </c>
      <c r="B3" s="8" t="inlineStr">
        <is>
          <t>IRT</t>
        </is>
      </c>
      <c r="C3" s="8" t="inlineStr">
        <is>
          <t>IRT or USD</t>
        </is>
      </c>
    </row>
    <row r="4">
      <c r="A4" s="8" t="inlineStr">
        <is>
          <t>Comparison Start Date</t>
        </is>
      </c>
      <c r="B4" s="11">
        <f>IFERROR(INDEX(History_Data!A:A,MAX(2,COUNTA(History_Data!A:A)-29)),TODAY())</f>
        <v/>
      </c>
      <c r="C4" s="8" t="inlineStr">
        <is>
          <t>Editable</t>
        </is>
      </c>
    </row>
    <row r="5">
      <c r="A5" s="8" t="inlineStr">
        <is>
          <t>Investment Amount</t>
        </is>
      </c>
      <c r="B5" s="9" t="n">
        <v>100000000</v>
      </c>
      <c r="C5" s="8" t="inlineStr">
        <is>
          <t>Editable lump-sum amount in asset currency</t>
        </is>
      </c>
    </row>
    <row r="6">
      <c r="A6" s="8" t="inlineStr">
        <is>
          <t>Last Generated</t>
        </is>
      </c>
      <c r="B6" s="12" t="n">
        <v>46221.72034722222</v>
      </c>
      <c r="C6" s="8" t="inlineStr">
        <is>
          <t>Local machine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>
      <c r="A1" s="13" t="inlineStr">
        <is>
          <t>Date</t>
        </is>
      </c>
      <c r="B1" s="13" t="inlineStr">
        <is>
          <t>IRT_Mother_Gold</t>
        </is>
      </c>
      <c r="C1" s="13" t="inlineStr">
        <is>
          <t>IRT_Mother_Cash</t>
        </is>
      </c>
      <c r="D1" s="13" t="inlineStr">
        <is>
          <t>IRT_Mother_Stock</t>
        </is>
      </c>
      <c r="E1" s="13" t="inlineStr">
        <is>
          <t>IRT_Mother_RealEstate</t>
        </is>
      </c>
      <c r="F1" s="13" t="inlineStr">
        <is>
          <t>IRT_Mother_Crypto</t>
        </is>
      </c>
      <c r="G1" s="13" t="inlineStr">
        <is>
          <t>IRT_Father_Gold</t>
        </is>
      </c>
      <c r="H1" s="13" t="inlineStr">
        <is>
          <t>IRT_Father_Cash</t>
        </is>
      </c>
      <c r="I1" s="13" t="inlineStr">
        <is>
          <t>IRT_Father_Stock</t>
        </is>
      </c>
      <c r="J1" s="13" t="inlineStr">
        <is>
          <t>IRT_Father_RealEstate</t>
        </is>
      </c>
      <c r="K1" s="13" t="inlineStr">
        <is>
          <t>IRT_Father_Crypto</t>
        </is>
      </c>
      <c r="L1" s="13" t="inlineStr">
        <is>
          <t>IRT_Total_Gold</t>
        </is>
      </c>
      <c r="M1" s="13" t="inlineStr">
        <is>
          <t>IRT_Total_Cash</t>
        </is>
      </c>
      <c r="N1" s="13" t="inlineStr">
        <is>
          <t>IRT_Total_Stock</t>
        </is>
      </c>
      <c r="O1" s="13" t="inlineStr">
        <is>
          <t>IRT_Total_RealEstate</t>
        </is>
      </c>
      <c r="P1" s="13" t="inlineStr">
        <is>
          <t>IRT_Total_Crypto</t>
        </is>
      </c>
      <c r="Q1" s="13" t="inlineStr">
        <is>
          <t>USD_Mother_Gold</t>
        </is>
      </c>
      <c r="R1" s="13" t="inlineStr">
        <is>
          <t>USD_Mother_Cash</t>
        </is>
      </c>
      <c r="S1" s="13" t="inlineStr">
        <is>
          <t>USD_Mother_Stock</t>
        </is>
      </c>
      <c r="T1" s="13" t="inlineStr">
        <is>
          <t>USD_Mother_RealEstate</t>
        </is>
      </c>
      <c r="U1" s="13" t="inlineStr">
        <is>
          <t>USD_Mother_Crypto</t>
        </is>
      </c>
      <c r="V1" s="13" t="inlineStr">
        <is>
          <t>USD_Father_Gold</t>
        </is>
      </c>
      <c r="W1" s="13" t="inlineStr">
        <is>
          <t>USD_Father_Cash</t>
        </is>
      </c>
      <c r="X1" s="13" t="inlineStr">
        <is>
          <t>USD_Father_Stock</t>
        </is>
      </c>
      <c r="Y1" s="13" t="inlineStr">
        <is>
          <t>USD_Father_RealEstate</t>
        </is>
      </c>
      <c r="Z1" s="13" t="inlineStr">
        <is>
          <t>USD_Father_Crypto</t>
        </is>
      </c>
      <c r="AA1" s="13" t="inlineStr">
        <is>
          <t>USD_Total_Gold</t>
        </is>
      </c>
      <c r="AB1" s="13" t="inlineStr">
        <is>
          <t>USD_Total_Cash</t>
        </is>
      </c>
      <c r="AC1" s="13" t="inlineStr">
        <is>
          <t>USD_Total_Stock</t>
        </is>
      </c>
      <c r="AD1" s="13" t="inlineStr">
        <is>
          <t>USD_Total_RealEstate</t>
        </is>
      </c>
      <c r="AE1" s="13" t="inlineStr">
        <is>
          <t>USD_Total_Crypto</t>
        </is>
      </c>
      <c r="AF1" s="13" t="inlineStr">
        <is>
          <t>Price_bitcoin_usd</t>
        </is>
      </c>
      <c r="AG1" s="13" t="inlineStr">
        <is>
          <t>Price_usdt_irt</t>
        </is>
      </c>
      <c r="AH1" s="13" t="inlineStr">
        <is>
          <t>Price_usd_cash</t>
        </is>
      </c>
      <c r="AI1" s="13" t="inlineStr">
        <is>
          <t>Price_emami_coin</t>
        </is>
      </c>
      <c r="AJ1" s="13" t="inlineStr">
        <is>
          <t>Price_half_coin</t>
        </is>
      </c>
      <c r="AK1" s="13" t="inlineStr">
        <is>
          <t>Price_quarter_coin</t>
        </is>
      </c>
      <c r="AL1" s="13" t="inlineStr">
        <is>
          <t>Price_quarter_coin_pre86</t>
        </is>
      </c>
      <c r="AM1" s="13" t="inlineStr">
        <is>
          <t>Price_swiss_gold_bar_1g</t>
        </is>
      </c>
      <c r="AN1" s="13" t="inlineStr">
        <is>
          <t>Price_swiss_gold_bar_2_5g</t>
        </is>
      </c>
      <c r="AO1" s="13" t="inlineStr">
        <is>
          <t>Price_one_gram_coin</t>
        </is>
      </c>
      <c r="AP1" s="13" t="inlineStr">
        <is>
          <t>Price_gold_18k_gram</t>
        </is>
      </c>
      <c r="AQ1" s="13" t="inlineStr">
        <is>
          <t>Price_kama_stock</t>
        </is>
      </c>
      <c r="AR1" s="13" t="inlineStr">
        <is>
          <t>Price_euro_cash</t>
        </is>
      </c>
      <c r="AS1" s="13" t="inlineStr">
        <is>
          <t>Price_gold_ounce_usd</t>
        </is>
      </c>
    </row>
    <row r="2">
      <c r="A2" s="11" t="n">
        <v>46057</v>
      </c>
      <c r="B2" s="9" t="n">
        <v>4423820426</v>
      </c>
      <c r="C2" s="9" t="n">
        <v>78425000</v>
      </c>
      <c r="D2" s="9" t="n">
        <v>0</v>
      </c>
      <c r="E2" s="9" t="n">
        <v>7718000000</v>
      </c>
      <c r="F2" s="9" t="n">
        <v>0</v>
      </c>
      <c r="G2" s="9" t="n">
        <v>4357500000</v>
      </c>
      <c r="H2" s="9" t="n">
        <v>470550000</v>
      </c>
      <c r="I2" s="9" t="n">
        <v>6572500000</v>
      </c>
      <c r="J2" s="9" t="n">
        <v>0</v>
      </c>
      <c r="K2" s="9" t="n">
        <v>0</v>
      </c>
      <c r="L2" s="9" t="n">
        <v>8781320426</v>
      </c>
      <c r="M2" s="9" t="n">
        <v>548975000</v>
      </c>
      <c r="N2" s="9" t="n">
        <v>6572500000</v>
      </c>
      <c r="O2" s="9" t="n">
        <v>7718000000</v>
      </c>
      <c r="P2" s="9" t="n">
        <v>0</v>
      </c>
      <c r="Q2" s="9" t="n">
        <v>27401.0692</v>
      </c>
      <c r="R2" s="9" t="n">
        <v>485.7631</v>
      </c>
      <c r="S2" s="9" t="n">
        <v>0</v>
      </c>
      <c r="T2" s="9" t="n">
        <v>47805.1621</v>
      </c>
      <c r="U2" s="9" t="n">
        <v>0</v>
      </c>
      <c r="V2" s="9" t="n">
        <v>26990.2816</v>
      </c>
      <c r="W2" s="9" t="n">
        <v>2914.5788</v>
      </c>
      <c r="X2" s="9" t="n">
        <v>40709.9544</v>
      </c>
      <c r="Y2" s="9" t="n">
        <v>0</v>
      </c>
      <c r="Z2" s="9" t="n">
        <v>0</v>
      </c>
      <c r="AA2" s="9" t="n">
        <v>54391.3509</v>
      </c>
      <c r="AB2" s="9" t="n">
        <v>3400.3419</v>
      </c>
      <c r="AC2" s="9" t="n">
        <v>40709.9544</v>
      </c>
      <c r="AD2" s="9" t="n">
        <v>47805.1621</v>
      </c>
      <c r="AE2" s="9" t="n">
        <v>0</v>
      </c>
      <c r="AF2" s="9" t="n">
        <v>73000</v>
      </c>
      <c r="AG2" s="9" t="n">
        <v>161447</v>
      </c>
      <c r="AH2" s="9" t="n">
        <v>156850</v>
      </c>
      <c r="AI2" s="9" t="n">
        <v>194500000</v>
      </c>
      <c r="AJ2" s="9" t="n">
        <v>100500000</v>
      </c>
      <c r="AK2" s="9" t="n">
        <v>57500000</v>
      </c>
      <c r="AL2" s="9" t="n">
        <v>42128713</v>
      </c>
      <c r="AM2" s="9" t="n">
        <v>25900000</v>
      </c>
      <c r="AN2" s="9" t="n">
        <v>61610000</v>
      </c>
      <c r="AO2" s="9" t="n">
        <v>27500000</v>
      </c>
      <c r="AP2" s="9" t="n">
        <v>19172200</v>
      </c>
      <c r="AQ2" s="9" t="n">
        <v>2629</v>
      </c>
      <c r="AR2" s="9" t="n">
        <v>185380</v>
      </c>
      <c r="AS2" s="9" t="n">
        <v>4906</v>
      </c>
    </row>
    <row r="3">
      <c r="A3" s="11" t="n">
        <v>46058</v>
      </c>
      <c r="B3" s="9" t="n">
        <v>4462322658.2222</v>
      </c>
      <c r="C3" s="9" t="n">
        <v>81129722.22220001</v>
      </c>
      <c r="D3" s="9" t="n">
        <v>0</v>
      </c>
      <c r="E3" s="9" t="n">
        <v>7718000000</v>
      </c>
      <c r="F3" s="9" t="n">
        <v>0</v>
      </c>
      <c r="G3" s="9" t="n">
        <v>4398401111.1111</v>
      </c>
      <c r="H3" s="9" t="n">
        <v>486778333.3333</v>
      </c>
      <c r="I3" s="9" t="n">
        <v>6572500000</v>
      </c>
      <c r="J3" s="9" t="n">
        <v>0</v>
      </c>
      <c r="K3" s="9" t="n">
        <v>0</v>
      </c>
      <c r="L3" s="9" t="n">
        <v>8860723769.3333</v>
      </c>
      <c r="M3" s="9" t="n">
        <v>567908055.5556</v>
      </c>
      <c r="N3" s="9" t="n">
        <v>6572500000</v>
      </c>
      <c r="O3" s="9" t="n">
        <v>7718000000</v>
      </c>
      <c r="P3" s="9" t="n">
        <v>0</v>
      </c>
      <c r="Q3" s="9" t="n">
        <v>27315.2142</v>
      </c>
      <c r="R3" s="9" t="n">
        <v>496.6193</v>
      </c>
      <c r="S3" s="9" t="n">
        <v>0</v>
      </c>
      <c r="T3" s="9" t="n">
        <v>47244.1909</v>
      </c>
      <c r="U3" s="9" t="n">
        <v>0</v>
      </c>
      <c r="V3" s="9" t="n">
        <v>26923.9313</v>
      </c>
      <c r="W3" s="9" t="n">
        <v>2979.7161</v>
      </c>
      <c r="X3" s="9" t="n">
        <v>40232.2421</v>
      </c>
      <c r="Y3" s="9" t="n">
        <v>0</v>
      </c>
      <c r="Z3" s="9" t="n">
        <v>0</v>
      </c>
      <c r="AA3" s="9" t="n">
        <v>54239.1455</v>
      </c>
      <c r="AB3" s="9" t="n">
        <v>3476.3354</v>
      </c>
      <c r="AC3" s="9" t="n">
        <v>40232.2421</v>
      </c>
      <c r="AD3" s="9" t="n">
        <v>47244.1909</v>
      </c>
      <c r="AE3" s="9" t="n">
        <v>0</v>
      </c>
      <c r="AF3" s="9" t="n">
        <v>69515.19560000001</v>
      </c>
      <c r="AG3" s="9" t="n">
        <v>163364</v>
      </c>
      <c r="AH3" s="9" t="n">
        <v>162259.4444</v>
      </c>
      <c r="AI3" s="9" t="n">
        <v>196502222.2222</v>
      </c>
      <c r="AJ3" s="9" t="n">
        <v>102354444.4444</v>
      </c>
      <c r="AK3" s="9" t="n">
        <v>56500000</v>
      </c>
      <c r="AL3" s="9" t="n">
        <v>49121718</v>
      </c>
      <c r="AM3" s="9" t="n">
        <v>25900000</v>
      </c>
      <c r="AN3" s="9" t="n">
        <v>61610000</v>
      </c>
      <c r="AO3" s="9" t="n">
        <v>27500000</v>
      </c>
      <c r="AP3" s="9" t="n">
        <v>19357133.3333</v>
      </c>
      <c r="AQ3" s="9" t="n">
        <v>2629</v>
      </c>
      <c r="AR3" s="9" t="n">
        <v>191536.6667</v>
      </c>
      <c r="AS3" s="9" t="n">
        <v>4848.2222</v>
      </c>
    </row>
    <row r="4">
      <c r="A4" s="11" t="n">
        <v>46059</v>
      </c>
      <c r="B4" s="9" t="n">
        <v>4413420936</v>
      </c>
      <c r="C4" s="9" t="n">
        <v>81120000</v>
      </c>
      <c r="D4" s="9" t="n">
        <v>0</v>
      </c>
      <c r="E4" s="9" t="n">
        <v>7718000000</v>
      </c>
      <c r="F4" s="9" t="n">
        <v>0</v>
      </c>
      <c r="G4" s="9" t="n">
        <v>4375400000</v>
      </c>
      <c r="H4" s="9" t="n">
        <v>486720000</v>
      </c>
      <c r="I4" s="9" t="n">
        <v>6572500000</v>
      </c>
      <c r="J4" s="9" t="n">
        <v>0</v>
      </c>
      <c r="K4" s="9" t="n">
        <v>0</v>
      </c>
      <c r="L4" s="9" t="n">
        <v>8788820936</v>
      </c>
      <c r="M4" s="9" t="n">
        <v>567840000</v>
      </c>
      <c r="N4" s="9" t="n">
        <v>6572500000</v>
      </c>
      <c r="O4" s="9" t="n">
        <v>7718000000</v>
      </c>
      <c r="P4" s="9" t="n">
        <v>0</v>
      </c>
      <c r="Q4" s="9" t="n">
        <v>26857.8788</v>
      </c>
      <c r="R4" s="9" t="n">
        <v>493.6559</v>
      </c>
      <c r="S4" s="9" t="n">
        <v>0</v>
      </c>
      <c r="T4" s="9" t="n">
        <v>46967.899</v>
      </c>
      <c r="U4" s="9" t="n">
        <v>0</v>
      </c>
      <c r="V4" s="9" t="n">
        <v>26626.5024</v>
      </c>
      <c r="W4" s="9" t="n">
        <v>2961.9352</v>
      </c>
      <c r="X4" s="9" t="n">
        <v>39996.9572</v>
      </c>
      <c r="Y4" s="9" t="n">
        <v>0</v>
      </c>
      <c r="Z4" s="9" t="n">
        <v>0</v>
      </c>
      <c r="AA4" s="9" t="n">
        <v>53484.3812</v>
      </c>
      <c r="AB4" s="9" t="n">
        <v>3455.5911</v>
      </c>
      <c r="AC4" s="9" t="n">
        <v>39996.9572</v>
      </c>
      <c r="AD4" s="9" t="n">
        <v>46967.899</v>
      </c>
      <c r="AE4" s="9" t="n">
        <v>0</v>
      </c>
      <c r="AF4" s="9" t="n">
        <v>67939.8707</v>
      </c>
      <c r="AG4" s="9" t="n">
        <v>164325</v>
      </c>
      <c r="AH4" s="9" t="n">
        <v>162240</v>
      </c>
      <c r="AI4" s="9" t="n">
        <v>195500000</v>
      </c>
      <c r="AJ4" s="9" t="n">
        <v>100400000</v>
      </c>
      <c r="AK4" s="9" t="n">
        <v>56500000</v>
      </c>
      <c r="AL4" s="9" t="n">
        <v>49121718</v>
      </c>
      <c r="AM4" s="9" t="n">
        <v>25900000</v>
      </c>
      <c r="AN4" s="9" t="n">
        <v>61610000</v>
      </c>
      <c r="AO4" s="9" t="n">
        <v>27500000</v>
      </c>
      <c r="AP4" s="9" t="n">
        <v>19066833.3333</v>
      </c>
      <c r="AQ4" s="9" t="n">
        <v>2629</v>
      </c>
      <c r="AR4" s="9" t="n">
        <v>191560</v>
      </c>
      <c r="AS4" s="9" t="n">
        <v>4938.2667</v>
      </c>
    </row>
    <row r="5">
      <c r="A5" s="11" t="n">
        <v>46060</v>
      </c>
      <c r="B5" s="9" t="n">
        <v>4332152947.3333</v>
      </c>
      <c r="C5" s="9" t="n">
        <v>79289166.66670001</v>
      </c>
      <c r="D5" s="9" t="n">
        <v>0</v>
      </c>
      <c r="E5" s="9" t="n">
        <v>7718000000</v>
      </c>
      <c r="F5" s="9" t="n">
        <v>0</v>
      </c>
      <c r="G5" s="9" t="n">
        <v>4227730000</v>
      </c>
      <c r="H5" s="9" t="n">
        <v>475735000</v>
      </c>
      <c r="I5" s="9" t="n">
        <v>6720000000</v>
      </c>
      <c r="J5" s="9" t="n">
        <v>0</v>
      </c>
      <c r="K5" s="9" t="n">
        <v>0</v>
      </c>
      <c r="L5" s="9" t="n">
        <v>8559882947.3333</v>
      </c>
      <c r="M5" s="9" t="n">
        <v>555024166.6667</v>
      </c>
      <c r="N5" s="9" t="n">
        <v>6720000000</v>
      </c>
      <c r="O5" s="9" t="n">
        <v>7718000000</v>
      </c>
      <c r="P5" s="9" t="n">
        <v>0</v>
      </c>
      <c r="Q5" s="9" t="n">
        <v>26860.2347</v>
      </c>
      <c r="R5" s="9" t="n">
        <v>491.6091</v>
      </c>
      <c r="S5" s="9" t="n">
        <v>0</v>
      </c>
      <c r="T5" s="9" t="n">
        <v>47853.1792</v>
      </c>
      <c r="U5" s="9" t="n">
        <v>0</v>
      </c>
      <c r="V5" s="9" t="n">
        <v>26212.791</v>
      </c>
      <c r="W5" s="9" t="n">
        <v>2949.6543</v>
      </c>
      <c r="X5" s="9" t="n">
        <v>41665.375</v>
      </c>
      <c r="Y5" s="9" t="n">
        <v>0</v>
      </c>
      <c r="Z5" s="9" t="n">
        <v>0</v>
      </c>
      <c r="AA5" s="9" t="n">
        <v>53073.0257</v>
      </c>
      <c r="AB5" s="9" t="n">
        <v>3441.2634</v>
      </c>
      <c r="AC5" s="9" t="n">
        <v>41665.375</v>
      </c>
      <c r="AD5" s="9" t="n">
        <v>47853.1792</v>
      </c>
      <c r="AE5" s="9" t="n">
        <v>0</v>
      </c>
      <c r="AF5" s="9" t="n">
        <v>68078.52</v>
      </c>
      <c r="AG5" s="9" t="n">
        <v>161285</v>
      </c>
      <c r="AH5" s="9" t="n">
        <v>158578.3333</v>
      </c>
      <c r="AI5" s="9" t="n">
        <v>188663333.3333</v>
      </c>
      <c r="AJ5" s="9" t="n">
        <v>99300000</v>
      </c>
      <c r="AK5" s="9" t="n">
        <v>55500000</v>
      </c>
      <c r="AL5" s="9" t="n">
        <v>48252307</v>
      </c>
      <c r="AM5" s="9" t="n">
        <v>25900000</v>
      </c>
      <c r="AN5" s="9" t="n">
        <v>61610000</v>
      </c>
      <c r="AO5" s="9" t="n">
        <v>26500000</v>
      </c>
      <c r="AP5" s="9" t="n">
        <v>18699000</v>
      </c>
      <c r="AQ5" s="9" t="n">
        <v>2688</v>
      </c>
      <c r="AR5" s="9" t="n">
        <v>187436.6667</v>
      </c>
      <c r="AS5" s="9" t="n">
        <v>4961</v>
      </c>
    </row>
    <row r="6">
      <c r="A6" s="11" t="n">
        <v>46061</v>
      </c>
      <c r="B6" s="9" t="n">
        <v>4309543924</v>
      </c>
      <c r="C6" s="9" t="n">
        <v>78675000</v>
      </c>
      <c r="D6" s="9" t="n">
        <v>0</v>
      </c>
      <c r="E6" s="9" t="n">
        <v>7718000000</v>
      </c>
      <c r="F6" s="9" t="n">
        <v>0</v>
      </c>
      <c r="G6" s="9" t="n">
        <v>4214105000</v>
      </c>
      <c r="H6" s="9" t="n">
        <v>472050000</v>
      </c>
      <c r="I6" s="9" t="n">
        <v>6515000000</v>
      </c>
      <c r="J6" s="9" t="n">
        <v>0</v>
      </c>
      <c r="K6" s="9" t="n">
        <v>0</v>
      </c>
      <c r="L6" s="9" t="n">
        <v>8523648924</v>
      </c>
      <c r="M6" s="9" t="n">
        <v>550725000</v>
      </c>
      <c r="N6" s="9" t="n">
        <v>6515000000</v>
      </c>
      <c r="O6" s="9" t="n">
        <v>7718000000</v>
      </c>
      <c r="P6" s="9" t="n">
        <v>0</v>
      </c>
      <c r="Q6" s="9" t="n">
        <v>26854.7566</v>
      </c>
      <c r="R6" s="9" t="n">
        <v>490.2602</v>
      </c>
      <c r="S6" s="9" t="n">
        <v>0</v>
      </c>
      <c r="T6" s="9" t="n">
        <v>48094.4191</v>
      </c>
      <c r="U6" s="9" t="n">
        <v>0</v>
      </c>
      <c r="V6" s="9" t="n">
        <v>26260.0327</v>
      </c>
      <c r="W6" s="9" t="n">
        <v>2941.5614</v>
      </c>
      <c r="X6" s="9" t="n">
        <v>40597.971</v>
      </c>
      <c r="Y6" s="9" t="n">
        <v>0</v>
      </c>
      <c r="Z6" s="9" t="n">
        <v>0</v>
      </c>
      <c r="AA6" s="9" t="n">
        <v>53114.7893</v>
      </c>
      <c r="AB6" s="9" t="n">
        <v>3431.8216</v>
      </c>
      <c r="AC6" s="9" t="n">
        <v>40597.971</v>
      </c>
      <c r="AD6" s="9" t="n">
        <v>48094.4191</v>
      </c>
      <c r="AE6" s="9" t="n">
        <v>0</v>
      </c>
      <c r="AF6" s="9" t="n">
        <v>70669.86</v>
      </c>
      <c r="AG6" s="9" t="n">
        <v>160476</v>
      </c>
      <c r="AH6" s="9" t="n">
        <v>157350</v>
      </c>
      <c r="AI6" s="9" t="n">
        <v>188340000</v>
      </c>
      <c r="AJ6" s="9" t="n">
        <v>95900000</v>
      </c>
      <c r="AK6" s="9" t="n">
        <v>54355000</v>
      </c>
      <c r="AL6" s="9" t="n">
        <v>47256831</v>
      </c>
      <c r="AM6" s="9" t="n">
        <v>25900000</v>
      </c>
      <c r="AN6" s="9" t="n">
        <v>61610000</v>
      </c>
      <c r="AO6" s="9" t="n">
        <v>26836878</v>
      </c>
      <c r="AP6" s="9" t="n">
        <v>18623350</v>
      </c>
      <c r="AQ6" s="9" t="n">
        <v>2606</v>
      </c>
      <c r="AR6" s="9" t="n">
        <v>185985</v>
      </c>
      <c r="AS6" s="9" t="n">
        <v>4961</v>
      </c>
    </row>
    <row r="7">
      <c r="A7" s="11" t="n">
        <v>46062</v>
      </c>
      <c r="B7" s="9" t="n">
        <v>4414541935.3333</v>
      </c>
      <c r="C7" s="9" t="n">
        <v>80303333.33329999</v>
      </c>
      <c r="D7" s="9" t="n">
        <v>0</v>
      </c>
      <c r="E7" s="9" t="n">
        <v>7718000000</v>
      </c>
      <c r="F7" s="9" t="n">
        <v>0</v>
      </c>
      <c r="G7" s="9" t="n">
        <v>4332535000</v>
      </c>
      <c r="H7" s="9" t="n">
        <v>481820000</v>
      </c>
      <c r="I7" s="9" t="n">
        <v>6470000000</v>
      </c>
      <c r="J7" s="9" t="n">
        <v>0</v>
      </c>
      <c r="K7" s="9" t="n">
        <v>0</v>
      </c>
      <c r="L7" s="9" t="n">
        <v>8747076935.3333</v>
      </c>
      <c r="M7" s="9" t="n">
        <v>562123333.3333</v>
      </c>
      <c r="N7" s="9" t="n">
        <v>6470000000</v>
      </c>
      <c r="O7" s="9" t="n">
        <v>7718000000</v>
      </c>
      <c r="P7" s="9" t="n">
        <v>0</v>
      </c>
      <c r="Q7" s="9" t="n">
        <v>27013.3088</v>
      </c>
      <c r="R7" s="9" t="n">
        <v>491.3893</v>
      </c>
      <c r="S7" s="9" t="n">
        <v>0</v>
      </c>
      <c r="T7" s="9" t="n">
        <v>47227.7125</v>
      </c>
      <c r="U7" s="9" t="n">
        <v>0</v>
      </c>
      <c r="V7" s="9" t="n">
        <v>26511.4949</v>
      </c>
      <c r="W7" s="9" t="n">
        <v>2948.3359</v>
      </c>
      <c r="X7" s="9" t="n">
        <v>39590.995</v>
      </c>
      <c r="Y7" s="9" t="n">
        <v>0</v>
      </c>
      <c r="Z7" s="9" t="n">
        <v>0</v>
      </c>
      <c r="AA7" s="9" t="n">
        <v>53524.8036</v>
      </c>
      <c r="AB7" s="9" t="n">
        <v>3439.7252</v>
      </c>
      <c r="AC7" s="9" t="n">
        <v>39590.995</v>
      </c>
      <c r="AD7" s="9" t="n">
        <v>47227.7125</v>
      </c>
      <c r="AE7" s="9" t="n">
        <v>0</v>
      </c>
      <c r="AF7" s="9" t="n">
        <v>69888.14</v>
      </c>
      <c r="AG7" s="9" t="n">
        <v>163421</v>
      </c>
      <c r="AH7" s="9" t="n">
        <v>160606.6667</v>
      </c>
      <c r="AI7" s="9" t="n">
        <v>193735000</v>
      </c>
      <c r="AJ7" s="9" t="n">
        <v>97500000</v>
      </c>
      <c r="AK7" s="9" t="n">
        <v>55533333.3333</v>
      </c>
      <c r="AL7" s="9" t="n">
        <v>48281287</v>
      </c>
      <c r="AM7" s="9" t="n">
        <v>25900000</v>
      </c>
      <c r="AN7" s="9" t="n">
        <v>61610000</v>
      </c>
      <c r="AO7" s="9" t="n">
        <v>27533548.6667</v>
      </c>
      <c r="AP7" s="9" t="n">
        <v>19140566.6667</v>
      </c>
      <c r="AQ7" s="9" t="n">
        <v>2588</v>
      </c>
      <c r="AR7" s="9" t="n">
        <v>190553.3333</v>
      </c>
      <c r="AS7" s="9" t="n">
        <v>5010</v>
      </c>
    </row>
    <row r="8">
      <c r="A8" s="11" t="n">
        <v>46063</v>
      </c>
      <c r="B8" s="9" t="n">
        <v>4563195540</v>
      </c>
      <c r="C8" s="9" t="n">
        <v>81483000</v>
      </c>
      <c r="D8" s="9" t="n">
        <v>0</v>
      </c>
      <c r="E8" s="9" t="n">
        <v>7718000000</v>
      </c>
      <c r="F8" s="9" t="n">
        <v>0</v>
      </c>
      <c r="G8" s="9" t="n">
        <v>4465805000</v>
      </c>
      <c r="H8" s="9" t="n">
        <v>488898000</v>
      </c>
      <c r="I8" s="9" t="n">
        <v>6305000000</v>
      </c>
      <c r="J8" s="9" t="n">
        <v>0</v>
      </c>
      <c r="K8" s="9" t="n">
        <v>0</v>
      </c>
      <c r="L8" s="9" t="n">
        <v>9029000540</v>
      </c>
      <c r="M8" s="9" t="n">
        <v>570381000</v>
      </c>
      <c r="N8" s="9" t="n">
        <v>6305000000</v>
      </c>
      <c r="O8" s="9" t="n">
        <v>7718000000</v>
      </c>
      <c r="P8" s="9" t="n">
        <v>0</v>
      </c>
      <c r="Q8" s="9" t="n">
        <v>27660.4244</v>
      </c>
      <c r="R8" s="9" t="n">
        <v>493.9202</v>
      </c>
      <c r="S8" s="9" t="n">
        <v>0</v>
      </c>
      <c r="T8" s="9" t="n">
        <v>46783.6966</v>
      </c>
      <c r="U8" s="9" t="n">
        <v>0</v>
      </c>
      <c r="V8" s="9" t="n">
        <v>27070.0786</v>
      </c>
      <c r="W8" s="9" t="n">
        <v>2963.5211</v>
      </c>
      <c r="X8" s="9" t="n">
        <v>38218.6068</v>
      </c>
      <c r="Y8" s="9" t="n">
        <v>0</v>
      </c>
      <c r="Z8" s="9" t="n">
        <v>0</v>
      </c>
      <c r="AA8" s="9" t="n">
        <v>54730.503</v>
      </c>
      <c r="AB8" s="9" t="n">
        <v>3457.4413</v>
      </c>
      <c r="AC8" s="9" t="n">
        <v>38218.6068</v>
      </c>
      <c r="AD8" s="9" t="n">
        <v>46783.6966</v>
      </c>
      <c r="AE8" s="9" t="n">
        <v>0</v>
      </c>
      <c r="AF8" s="9" t="n">
        <v>69115.728</v>
      </c>
      <c r="AG8" s="9" t="n">
        <v>164972</v>
      </c>
      <c r="AH8" s="9" t="n">
        <v>162966</v>
      </c>
      <c r="AI8" s="9" t="n">
        <v>199699000</v>
      </c>
      <c r="AJ8" s="9" t="n">
        <v>101366000</v>
      </c>
      <c r="AK8" s="9" t="n">
        <v>56920000</v>
      </c>
      <c r="AL8" s="9" t="n">
        <v>49486870</v>
      </c>
      <c r="AM8" s="9" t="n">
        <v>25900000</v>
      </c>
      <c r="AN8" s="9" t="n">
        <v>61610000</v>
      </c>
      <c r="AO8" s="9" t="n">
        <v>27500000</v>
      </c>
      <c r="AP8" s="9" t="n">
        <v>19924320</v>
      </c>
      <c r="AQ8" s="9" t="n">
        <v>2522</v>
      </c>
      <c r="AR8" s="9" t="n">
        <v>194104</v>
      </c>
      <c r="AS8" s="9" t="n">
        <v>5045.6</v>
      </c>
    </row>
    <row r="9">
      <c r="A9" s="11" t="n">
        <v>46064</v>
      </c>
      <c r="B9" s="9" t="n">
        <v>4567114746</v>
      </c>
      <c r="C9" s="9" t="n">
        <v>81620000</v>
      </c>
      <c r="D9" s="9" t="n">
        <v>0</v>
      </c>
      <c r="E9" s="9" t="n">
        <v>7718000000</v>
      </c>
      <c r="F9" s="9" t="n">
        <v>0</v>
      </c>
      <c r="G9" s="9" t="n">
        <v>4472420000</v>
      </c>
      <c r="H9" s="9" t="n">
        <v>489720000</v>
      </c>
      <c r="I9" s="9" t="n">
        <v>6300000000</v>
      </c>
      <c r="J9" s="9" t="n">
        <v>0</v>
      </c>
      <c r="K9" s="9" t="n">
        <v>0</v>
      </c>
      <c r="L9" s="9" t="n">
        <v>9039534746</v>
      </c>
      <c r="M9" s="9" t="n">
        <v>571340000</v>
      </c>
      <c r="N9" s="9" t="n">
        <v>6300000000</v>
      </c>
      <c r="O9" s="9" t="n">
        <v>7718000000</v>
      </c>
      <c r="P9" s="9" t="n">
        <v>0</v>
      </c>
      <c r="Q9" s="9" t="n">
        <v>27600.5291</v>
      </c>
      <c r="R9" s="9" t="n">
        <v>493.2557</v>
      </c>
      <c r="S9" s="9" t="n">
        <v>0</v>
      </c>
      <c r="T9" s="9" t="n">
        <v>46642.3322</v>
      </c>
      <c r="U9" s="9" t="n">
        <v>0</v>
      </c>
      <c r="V9" s="9" t="n">
        <v>27028.2586</v>
      </c>
      <c r="W9" s="9" t="n">
        <v>2959.5339</v>
      </c>
      <c r="X9" s="9" t="n">
        <v>38072.9066</v>
      </c>
      <c r="Y9" s="9" t="n">
        <v>0</v>
      </c>
      <c r="Z9" s="9" t="n">
        <v>0</v>
      </c>
      <c r="AA9" s="9" t="n">
        <v>54628.7876</v>
      </c>
      <c r="AB9" s="9" t="n">
        <v>3452.7896</v>
      </c>
      <c r="AC9" s="9" t="n">
        <v>38072.9066</v>
      </c>
      <c r="AD9" s="9" t="n">
        <v>46642.3322</v>
      </c>
      <c r="AE9" s="9" t="n">
        <v>0</v>
      </c>
      <c r="AF9" s="9" t="n">
        <v>67067.9633</v>
      </c>
      <c r="AG9" s="9" t="n">
        <v>165472</v>
      </c>
      <c r="AH9" s="9" t="n">
        <v>163240</v>
      </c>
      <c r="AI9" s="9" t="n">
        <v>200010000</v>
      </c>
      <c r="AJ9" s="9" t="n">
        <v>101720000</v>
      </c>
      <c r="AK9" s="9" t="n">
        <v>56830000</v>
      </c>
      <c r="AL9" s="9" t="n">
        <v>49408623</v>
      </c>
      <c r="AM9" s="9" t="n">
        <v>25900000</v>
      </c>
      <c r="AN9" s="9" t="n">
        <v>61610000</v>
      </c>
      <c r="AO9" s="9" t="n">
        <v>27500000</v>
      </c>
      <c r="AP9" s="9" t="n">
        <v>19951500</v>
      </c>
      <c r="AQ9" s="9" t="n">
        <v>2520</v>
      </c>
      <c r="AR9" s="9" t="n">
        <v>194410</v>
      </c>
      <c r="AS9" s="9" t="n">
        <v>5068</v>
      </c>
    </row>
    <row r="10">
      <c r="A10" s="11" t="n">
        <v>46065</v>
      </c>
      <c r="B10" s="9" t="n">
        <v>4481812542.5</v>
      </c>
      <c r="C10" s="9" t="n">
        <v>81145000</v>
      </c>
      <c r="D10" s="9" t="n">
        <v>0</v>
      </c>
      <c r="E10" s="9" t="n">
        <v>7718000000</v>
      </c>
      <c r="F10" s="9" t="n">
        <v>0</v>
      </c>
      <c r="G10" s="9" t="n">
        <v>4393588750</v>
      </c>
      <c r="H10" s="9" t="n">
        <v>486870000</v>
      </c>
      <c r="I10" s="9" t="n">
        <v>6300000000</v>
      </c>
      <c r="J10" s="9" t="n">
        <v>0</v>
      </c>
      <c r="K10" s="9" t="n">
        <v>0</v>
      </c>
      <c r="L10" s="9" t="n">
        <v>8875401292.5</v>
      </c>
      <c r="M10" s="9" t="n">
        <v>568015000</v>
      </c>
      <c r="N10" s="9" t="n">
        <v>6300000000</v>
      </c>
      <c r="O10" s="9" t="n">
        <v>7718000000</v>
      </c>
      <c r="P10" s="9" t="n">
        <v>0</v>
      </c>
      <c r="Q10" s="9" t="n">
        <v>27322.4608</v>
      </c>
      <c r="R10" s="9" t="n">
        <v>494.684</v>
      </c>
      <c r="S10" s="9" t="n">
        <v>0</v>
      </c>
      <c r="T10" s="9" t="n">
        <v>47051.2211</v>
      </c>
      <c r="U10" s="9" t="n">
        <v>0</v>
      </c>
      <c r="V10" s="9" t="n">
        <v>26784.6224</v>
      </c>
      <c r="W10" s="9" t="n">
        <v>2968.1042</v>
      </c>
      <c r="X10" s="9" t="n">
        <v>38406.6718</v>
      </c>
      <c r="Y10" s="9" t="n">
        <v>0</v>
      </c>
      <c r="Z10" s="9" t="n">
        <v>0</v>
      </c>
      <c r="AA10" s="9" t="n">
        <v>54107.0832</v>
      </c>
      <c r="AB10" s="9" t="n">
        <v>3462.7882</v>
      </c>
      <c r="AC10" s="9" t="n">
        <v>38406.6718</v>
      </c>
      <c r="AD10" s="9" t="n">
        <v>47051.2211</v>
      </c>
      <c r="AE10" s="9" t="n">
        <v>0</v>
      </c>
      <c r="AF10" s="9" t="n">
        <v>66979.535</v>
      </c>
      <c r="AG10" s="9" t="n">
        <v>164034</v>
      </c>
      <c r="AH10" s="9" t="n">
        <v>162290</v>
      </c>
      <c r="AI10" s="9" t="n">
        <v>196503750</v>
      </c>
      <c r="AJ10" s="9" t="n">
        <v>99182500</v>
      </c>
      <c r="AK10" s="9" t="n">
        <v>55942500</v>
      </c>
      <c r="AL10" s="9" t="n">
        <v>48637021.25</v>
      </c>
      <c r="AM10" s="9" t="n">
        <v>25900000</v>
      </c>
      <c r="AN10" s="9" t="n">
        <v>61610000</v>
      </c>
      <c r="AO10" s="9" t="n">
        <v>27500000</v>
      </c>
      <c r="AP10" s="9" t="n">
        <v>19508150</v>
      </c>
      <c r="AQ10" s="9" t="n">
        <v>2520</v>
      </c>
      <c r="AR10" s="9" t="n">
        <v>192852.5</v>
      </c>
      <c r="AS10" s="9" t="n">
        <v>5035.25</v>
      </c>
    </row>
    <row r="11">
      <c r="A11" s="11" t="n">
        <v>46066</v>
      </c>
      <c r="B11" s="9" t="n">
        <v>4482492878</v>
      </c>
      <c r="C11" s="9" t="n">
        <v>81275000</v>
      </c>
      <c r="D11" s="9" t="n">
        <v>0</v>
      </c>
      <c r="E11" s="9" t="n">
        <v>7718000000</v>
      </c>
      <c r="F11" s="9" t="n">
        <v>0</v>
      </c>
      <c r="G11" s="9" t="n">
        <v>4381530000</v>
      </c>
      <c r="H11" s="9" t="n">
        <v>487650000</v>
      </c>
      <c r="I11" s="9" t="n">
        <v>6300000000</v>
      </c>
      <c r="J11" s="9" t="n">
        <v>0</v>
      </c>
      <c r="K11" s="9" t="n">
        <v>0</v>
      </c>
      <c r="L11" s="9" t="n">
        <v>8864022878</v>
      </c>
      <c r="M11" s="9" t="n">
        <v>568925000</v>
      </c>
      <c r="N11" s="9" t="n">
        <v>6300000000</v>
      </c>
      <c r="O11" s="9" t="n">
        <v>7718000000</v>
      </c>
      <c r="P11" s="9" t="n">
        <v>0</v>
      </c>
      <c r="Q11" s="9" t="n">
        <v>27480.3997</v>
      </c>
      <c r="R11" s="9" t="n">
        <v>498.265</v>
      </c>
      <c r="S11" s="9" t="n">
        <v>0</v>
      </c>
      <c r="T11" s="9" t="n">
        <v>47316.0205</v>
      </c>
      <c r="U11" s="9" t="n">
        <v>0</v>
      </c>
      <c r="V11" s="9" t="n">
        <v>26861.436</v>
      </c>
      <c r="W11" s="9" t="n">
        <v>2989.5902</v>
      </c>
      <c r="X11" s="9" t="n">
        <v>38622.8206</v>
      </c>
      <c r="Y11" s="9" t="n">
        <v>0</v>
      </c>
      <c r="Z11" s="9" t="n">
        <v>0</v>
      </c>
      <c r="AA11" s="9" t="n">
        <v>54341.8357</v>
      </c>
      <c r="AB11" s="9" t="n">
        <v>3487.8553</v>
      </c>
      <c r="AC11" s="9" t="n">
        <v>38622.8206</v>
      </c>
      <c r="AD11" s="9" t="n">
        <v>47316.0205</v>
      </c>
      <c r="AE11" s="9" t="n">
        <v>0</v>
      </c>
      <c r="AF11" s="9" t="n">
        <v>67727.465</v>
      </c>
      <c r="AG11" s="9" t="n">
        <v>163116</v>
      </c>
      <c r="AH11" s="9" t="n">
        <v>162550</v>
      </c>
      <c r="AI11" s="9" t="n">
        <v>195990000</v>
      </c>
      <c r="AJ11" s="9" t="n">
        <v>98640000</v>
      </c>
      <c r="AK11" s="9" t="n">
        <v>55700000</v>
      </c>
      <c r="AL11" s="9" t="n">
        <v>48426189</v>
      </c>
      <c r="AM11" s="9" t="n">
        <v>25900000</v>
      </c>
      <c r="AN11" s="9" t="n">
        <v>61610000</v>
      </c>
      <c r="AO11" s="9" t="n">
        <v>27500000</v>
      </c>
      <c r="AP11" s="9" t="n">
        <v>19529700</v>
      </c>
      <c r="AQ11" s="9" t="n">
        <v>2520</v>
      </c>
      <c r="AR11" s="9" t="n">
        <v>193130</v>
      </c>
      <c r="AS11" s="9" t="n">
        <v>4989</v>
      </c>
    </row>
    <row r="12">
      <c r="A12" s="11" t="n">
        <v>46067</v>
      </c>
      <c r="B12" s="9" t="n">
        <v>4315003130</v>
      </c>
      <c r="C12" s="9" t="n">
        <v>79312500</v>
      </c>
      <c r="D12" s="9" t="n">
        <v>0</v>
      </c>
      <c r="E12" s="9" t="n">
        <v>7718000000</v>
      </c>
      <c r="F12" s="9" t="n">
        <v>0</v>
      </c>
      <c r="G12" s="9" t="n">
        <v>4270507500</v>
      </c>
      <c r="H12" s="9" t="n">
        <v>475875000</v>
      </c>
      <c r="I12" s="9" t="n">
        <v>6125000000</v>
      </c>
      <c r="J12" s="9" t="n">
        <v>0</v>
      </c>
      <c r="K12" s="9" t="n">
        <v>0</v>
      </c>
      <c r="L12" s="9" t="n">
        <v>8585510630</v>
      </c>
      <c r="M12" s="9" t="n">
        <v>555187500</v>
      </c>
      <c r="N12" s="9" t="n">
        <v>6125000000</v>
      </c>
      <c r="O12" s="9" t="n">
        <v>7718000000</v>
      </c>
      <c r="P12" s="9" t="n">
        <v>0</v>
      </c>
      <c r="Q12" s="9" t="n">
        <v>26807.0893</v>
      </c>
      <c r="R12" s="9" t="n">
        <v>492.7313</v>
      </c>
      <c r="S12" s="9" t="n">
        <v>0</v>
      </c>
      <c r="T12" s="9" t="n">
        <v>47948.3117</v>
      </c>
      <c r="U12" s="9" t="n">
        <v>0</v>
      </c>
      <c r="V12" s="9" t="n">
        <v>26530.6588</v>
      </c>
      <c r="W12" s="9" t="n">
        <v>2956.388</v>
      </c>
      <c r="X12" s="9" t="n">
        <v>38051.7504</v>
      </c>
      <c r="Y12" s="9" t="n">
        <v>0</v>
      </c>
      <c r="Z12" s="9" t="n">
        <v>0</v>
      </c>
      <c r="AA12" s="9" t="n">
        <v>53337.7481</v>
      </c>
      <c r="AB12" s="9" t="n">
        <v>3449.1194</v>
      </c>
      <c r="AC12" s="9" t="n">
        <v>38051.7504</v>
      </c>
      <c r="AD12" s="9" t="n">
        <v>47948.3117</v>
      </c>
      <c r="AE12" s="9" t="n">
        <v>0</v>
      </c>
      <c r="AF12" s="9" t="n">
        <v>69627.00999999999</v>
      </c>
      <c r="AG12" s="9" t="n">
        <v>160965</v>
      </c>
      <c r="AH12" s="9" t="n">
        <v>158625</v>
      </c>
      <c r="AI12" s="9" t="n">
        <v>190997500</v>
      </c>
      <c r="AJ12" s="9" t="n">
        <v>97560000</v>
      </c>
      <c r="AK12" s="9" t="n">
        <v>54000000</v>
      </c>
      <c r="AL12" s="9" t="n">
        <v>46948190</v>
      </c>
      <c r="AM12" s="9" t="n">
        <v>25900000</v>
      </c>
      <c r="AN12" s="9" t="n">
        <v>61610000</v>
      </c>
      <c r="AO12" s="9" t="n">
        <v>26500000</v>
      </c>
      <c r="AP12" s="9" t="n">
        <v>18669450</v>
      </c>
      <c r="AQ12" s="9" t="n">
        <v>2450</v>
      </c>
      <c r="AR12" s="9" t="n">
        <v>188355</v>
      </c>
      <c r="AS12" s="9" t="n">
        <v>5043</v>
      </c>
    </row>
    <row r="13">
      <c r="A13" s="11" t="n">
        <v>46068</v>
      </c>
      <c r="B13" s="9" t="n">
        <v>4380975133</v>
      </c>
      <c r="C13" s="9" t="n">
        <v>79704375</v>
      </c>
      <c r="D13" s="9" t="n">
        <v>0</v>
      </c>
      <c r="E13" s="9" t="n">
        <v>7718000000</v>
      </c>
      <c r="F13" s="9" t="n">
        <v>0</v>
      </c>
      <c r="G13" s="9" t="n">
        <v>4340173750</v>
      </c>
      <c r="H13" s="9" t="n">
        <v>478226250</v>
      </c>
      <c r="I13" s="9" t="n">
        <v>6119375000</v>
      </c>
      <c r="J13" s="9" t="n">
        <v>0</v>
      </c>
      <c r="K13" s="9" t="n">
        <v>0</v>
      </c>
      <c r="L13" s="9" t="n">
        <v>8721148883</v>
      </c>
      <c r="M13" s="9" t="n">
        <v>557930625</v>
      </c>
      <c r="N13" s="9" t="n">
        <v>6119375000</v>
      </c>
      <c r="O13" s="9" t="n">
        <v>7718000000</v>
      </c>
      <c r="P13" s="9" t="n">
        <v>0</v>
      </c>
      <c r="Q13" s="9" t="n">
        <v>27297.6661</v>
      </c>
      <c r="R13" s="9" t="n">
        <v>496.6345</v>
      </c>
      <c r="S13" s="9" t="n">
        <v>0</v>
      </c>
      <c r="T13" s="9" t="n">
        <v>48090.5233</v>
      </c>
      <c r="U13" s="9" t="n">
        <v>0</v>
      </c>
      <c r="V13" s="9" t="n">
        <v>27043.4344</v>
      </c>
      <c r="W13" s="9" t="n">
        <v>2979.807</v>
      </c>
      <c r="X13" s="9" t="n">
        <v>38129.5603</v>
      </c>
      <c r="Y13" s="9" t="n">
        <v>0</v>
      </c>
      <c r="Z13" s="9" t="n">
        <v>0</v>
      </c>
      <c r="AA13" s="9" t="n">
        <v>54341.1005</v>
      </c>
      <c r="AB13" s="9" t="n">
        <v>3476.4415</v>
      </c>
      <c r="AC13" s="9" t="n">
        <v>38129.5603</v>
      </c>
      <c r="AD13" s="9" t="n">
        <v>48090.5233</v>
      </c>
      <c r="AE13" s="9" t="n">
        <v>0</v>
      </c>
      <c r="AF13" s="9" t="n">
        <v>69855.08500000001</v>
      </c>
      <c r="AG13" s="9" t="n">
        <v>160489</v>
      </c>
      <c r="AH13" s="9" t="n">
        <v>159408.75</v>
      </c>
      <c r="AI13" s="9" t="n">
        <v>194118750</v>
      </c>
      <c r="AJ13" s="9" t="n">
        <v>98695000</v>
      </c>
      <c r="AK13" s="9" t="n">
        <v>54995000</v>
      </c>
      <c r="AL13" s="9" t="n">
        <v>47813254</v>
      </c>
      <c r="AM13" s="9" t="n">
        <v>25900000</v>
      </c>
      <c r="AN13" s="9" t="n">
        <v>61610000</v>
      </c>
      <c r="AO13" s="9" t="n">
        <v>26750000</v>
      </c>
      <c r="AP13" s="9" t="n">
        <v>18985575</v>
      </c>
      <c r="AQ13" s="9" t="n">
        <v>2447.75</v>
      </c>
      <c r="AR13" s="9" t="n">
        <v>189285</v>
      </c>
      <c r="AS13" s="9" t="n">
        <v>5043</v>
      </c>
    </row>
    <row r="14">
      <c r="A14" s="11" t="n">
        <v>46069</v>
      </c>
      <c r="B14" s="9" t="n">
        <v>4385986989.3333</v>
      </c>
      <c r="C14" s="9" t="n">
        <v>79924166.66670001</v>
      </c>
      <c r="D14" s="9" t="n">
        <v>0</v>
      </c>
      <c r="E14" s="9" t="n">
        <v>7718000000</v>
      </c>
      <c r="F14" s="9" t="n">
        <v>0</v>
      </c>
      <c r="G14" s="9" t="n">
        <v>4337873333.3333</v>
      </c>
      <c r="H14" s="9" t="n">
        <v>479545000</v>
      </c>
      <c r="I14" s="9" t="n">
        <v>6245833333.3333</v>
      </c>
      <c r="J14" s="9" t="n">
        <v>0</v>
      </c>
      <c r="K14" s="9" t="n">
        <v>0</v>
      </c>
      <c r="L14" s="9" t="n">
        <v>8723860322.6667</v>
      </c>
      <c r="M14" s="9" t="n">
        <v>559469166.6667</v>
      </c>
      <c r="N14" s="9" t="n">
        <v>6245833333.3333</v>
      </c>
      <c r="O14" s="9" t="n">
        <v>7718000000</v>
      </c>
      <c r="P14" s="9" t="n">
        <v>0</v>
      </c>
      <c r="Q14" s="9" t="n">
        <v>27213.7582</v>
      </c>
      <c r="R14" s="9" t="n">
        <v>495.9059</v>
      </c>
      <c r="S14" s="9" t="n">
        <v>0</v>
      </c>
      <c r="T14" s="9" t="n">
        <v>47887.9182</v>
      </c>
      <c r="U14" s="9" t="n">
        <v>0</v>
      </c>
      <c r="V14" s="9" t="n">
        <v>26915.2272</v>
      </c>
      <c r="W14" s="9" t="n">
        <v>2975.4356</v>
      </c>
      <c r="X14" s="9" t="n">
        <v>38753.5574</v>
      </c>
      <c r="Y14" s="9" t="n">
        <v>0</v>
      </c>
      <c r="Z14" s="9" t="n">
        <v>0</v>
      </c>
      <c r="AA14" s="9" t="n">
        <v>54128.9854</v>
      </c>
      <c r="AB14" s="9" t="n">
        <v>3471.3415</v>
      </c>
      <c r="AC14" s="9" t="n">
        <v>38753.5574</v>
      </c>
      <c r="AD14" s="9" t="n">
        <v>47887.9182</v>
      </c>
      <c r="AE14" s="9" t="n">
        <v>0</v>
      </c>
      <c r="AF14" s="9" t="n">
        <v>68412.07000000001</v>
      </c>
      <c r="AG14" s="9" t="n">
        <v>161168</v>
      </c>
      <c r="AH14" s="9" t="n">
        <v>159848.3333</v>
      </c>
      <c r="AI14" s="9" t="n">
        <v>194003333.3333</v>
      </c>
      <c r="AJ14" s="9" t="n">
        <v>99193333.33329999</v>
      </c>
      <c r="AK14" s="9" t="n">
        <v>54870000</v>
      </c>
      <c r="AL14" s="9" t="n">
        <v>47704578</v>
      </c>
      <c r="AM14" s="9" t="n">
        <v>25900000</v>
      </c>
      <c r="AN14" s="9" t="n">
        <v>61610000</v>
      </c>
      <c r="AO14" s="9" t="n">
        <v>27000000</v>
      </c>
      <c r="AP14" s="9" t="n">
        <v>19017966.6667</v>
      </c>
      <c r="AQ14" s="9" t="n">
        <v>2498.3333</v>
      </c>
      <c r="AR14" s="9" t="n">
        <v>189700</v>
      </c>
      <c r="AS14" s="9" t="n">
        <v>5010.6667</v>
      </c>
    </row>
    <row r="15">
      <c r="A15" s="11" t="n">
        <v>46070</v>
      </c>
      <c r="B15" s="9" t="n">
        <v>4388465784</v>
      </c>
      <c r="C15" s="9" t="n">
        <v>80692500</v>
      </c>
      <c r="D15" s="9" t="n">
        <v>0</v>
      </c>
      <c r="E15" s="9" t="n">
        <v>7718000000</v>
      </c>
      <c r="F15" s="9" t="n">
        <v>0</v>
      </c>
      <c r="G15" s="9" t="n">
        <v>4380390000</v>
      </c>
      <c r="H15" s="9" t="n">
        <v>484155000</v>
      </c>
      <c r="I15" s="9" t="n">
        <v>6467500000</v>
      </c>
      <c r="J15" s="9" t="n">
        <v>0</v>
      </c>
      <c r="K15" s="9" t="n">
        <v>0</v>
      </c>
      <c r="L15" s="9" t="n">
        <v>8768855784</v>
      </c>
      <c r="M15" s="9" t="n">
        <v>564847500</v>
      </c>
      <c r="N15" s="9" t="n">
        <v>6467500000</v>
      </c>
      <c r="O15" s="9" t="n">
        <v>7718000000</v>
      </c>
      <c r="P15" s="9" t="n">
        <v>0</v>
      </c>
      <c r="Q15" s="9" t="n">
        <v>27145.9328</v>
      </c>
      <c r="R15" s="9" t="n">
        <v>499.1433</v>
      </c>
      <c r="S15" s="9" t="n">
        <v>0</v>
      </c>
      <c r="T15" s="9" t="n">
        <v>47741.5843</v>
      </c>
      <c r="U15" s="9" t="n">
        <v>0</v>
      </c>
      <c r="V15" s="9" t="n">
        <v>27095.978</v>
      </c>
      <c r="W15" s="9" t="n">
        <v>2994.8596</v>
      </c>
      <c r="X15" s="9" t="n">
        <v>40006.3095</v>
      </c>
      <c r="Y15" s="9" t="n">
        <v>0</v>
      </c>
      <c r="Z15" s="9" t="n">
        <v>0</v>
      </c>
      <c r="AA15" s="9" t="n">
        <v>54241.9108</v>
      </c>
      <c r="AB15" s="9" t="n">
        <v>3494.0029</v>
      </c>
      <c r="AC15" s="9" t="n">
        <v>40006.3095</v>
      </c>
      <c r="AD15" s="9" t="n">
        <v>47741.5843</v>
      </c>
      <c r="AE15" s="9" t="n">
        <v>0</v>
      </c>
      <c r="AF15" s="9" t="n">
        <v>67987.98</v>
      </c>
      <c r="AG15" s="9" t="n">
        <v>161662</v>
      </c>
      <c r="AH15" s="9" t="n">
        <v>161385</v>
      </c>
      <c r="AI15" s="9" t="n">
        <v>195995000</v>
      </c>
      <c r="AJ15" s="9" t="n">
        <v>99450000</v>
      </c>
      <c r="AK15" s="9" t="n">
        <v>55015000</v>
      </c>
      <c r="AL15" s="9" t="n">
        <v>47830642</v>
      </c>
      <c r="AM15" s="9" t="n">
        <v>25900000</v>
      </c>
      <c r="AN15" s="9" t="n">
        <v>61610000</v>
      </c>
      <c r="AO15" s="9" t="n">
        <v>27250000</v>
      </c>
      <c r="AP15" s="9" t="n">
        <v>19006300</v>
      </c>
      <c r="AQ15" s="9" t="n">
        <v>2587</v>
      </c>
      <c r="AR15" s="9" t="n">
        <v>191085</v>
      </c>
      <c r="AS15" s="9" t="n">
        <v>4911.5</v>
      </c>
    </row>
    <row r="16">
      <c r="A16" s="11" t="n">
        <v>46072</v>
      </c>
      <c r="B16" s="9" t="n">
        <v>4501912657</v>
      </c>
      <c r="C16" s="9" t="n">
        <v>81330000</v>
      </c>
      <c r="D16" s="9" t="n">
        <v>0</v>
      </c>
      <c r="E16" s="9" t="n">
        <v>7718000000</v>
      </c>
      <c r="F16" s="9" t="n">
        <v>0</v>
      </c>
      <c r="G16" s="9" t="n">
        <v>4414485000</v>
      </c>
      <c r="H16" s="9" t="n">
        <v>487980000</v>
      </c>
      <c r="I16" s="9" t="n">
        <v>6440000000</v>
      </c>
      <c r="J16" s="9" t="n">
        <v>0</v>
      </c>
      <c r="K16" s="9" t="n">
        <v>0</v>
      </c>
      <c r="L16" s="9" t="n">
        <v>8916397657</v>
      </c>
      <c r="M16" s="9" t="n">
        <v>569310000</v>
      </c>
      <c r="N16" s="9" t="n">
        <v>6440000000</v>
      </c>
      <c r="O16" s="9" t="n">
        <v>7718000000</v>
      </c>
      <c r="P16" s="9" t="n">
        <v>0</v>
      </c>
      <c r="Q16" s="9" t="n">
        <v>27316.6024</v>
      </c>
      <c r="R16" s="9" t="n">
        <v>493.4923</v>
      </c>
      <c r="S16" s="9" t="n">
        <v>0</v>
      </c>
      <c r="T16" s="9" t="n">
        <v>46831.1034</v>
      </c>
      <c r="U16" s="9" t="n">
        <v>0</v>
      </c>
      <c r="V16" s="9" t="n">
        <v>26786.1109</v>
      </c>
      <c r="W16" s="9" t="n">
        <v>2960.9539</v>
      </c>
      <c r="X16" s="9" t="n">
        <v>39076.4843</v>
      </c>
      <c r="Y16" s="9" t="n">
        <v>0</v>
      </c>
      <c r="Z16" s="9" t="n">
        <v>0</v>
      </c>
      <c r="AA16" s="9" t="n">
        <v>54102.7132</v>
      </c>
      <c r="AB16" s="9" t="n">
        <v>3454.4462</v>
      </c>
      <c r="AC16" s="9" t="n">
        <v>39076.4843</v>
      </c>
      <c r="AD16" s="9" t="n">
        <v>46831.1034</v>
      </c>
      <c r="AE16" s="9" t="n">
        <v>0</v>
      </c>
      <c r="AF16" s="9" t="n">
        <v>66717.715</v>
      </c>
      <c r="AG16" s="9" t="n">
        <v>164805</v>
      </c>
      <c r="AH16" s="9" t="n">
        <v>162660</v>
      </c>
      <c r="AI16" s="9" t="n">
        <v>197485000</v>
      </c>
      <c r="AJ16" s="9" t="n">
        <v>100275000</v>
      </c>
      <c r="AK16" s="9" t="n">
        <v>55675000</v>
      </c>
      <c r="AL16" s="9" t="n">
        <v>48404453.5</v>
      </c>
      <c r="AM16" s="9" t="n">
        <v>25900000</v>
      </c>
      <c r="AN16" s="9" t="n">
        <v>61610000</v>
      </c>
      <c r="AO16" s="9" t="n">
        <v>27750000</v>
      </c>
      <c r="AP16" s="9" t="n">
        <v>19633750</v>
      </c>
      <c r="AQ16" s="9" t="n">
        <v>2576</v>
      </c>
      <c r="AR16" s="9" t="n">
        <v>192145</v>
      </c>
      <c r="AS16" s="9" t="n">
        <v>4996</v>
      </c>
    </row>
    <row r="17">
      <c r="A17" s="11" t="n">
        <v>46073</v>
      </c>
      <c r="B17" s="9" t="n">
        <v>4555765046</v>
      </c>
      <c r="C17" s="9" t="n">
        <v>81820000</v>
      </c>
      <c r="D17" s="9" t="n">
        <v>0</v>
      </c>
      <c r="E17" s="9" t="n">
        <v>7718000000</v>
      </c>
      <c r="F17" s="9" t="n">
        <v>0</v>
      </c>
      <c r="G17" s="9" t="n">
        <v>4493100000</v>
      </c>
      <c r="H17" s="9" t="n">
        <v>490920000</v>
      </c>
      <c r="I17" s="9" t="n">
        <v>6440000000</v>
      </c>
      <c r="J17" s="9" t="n">
        <v>0</v>
      </c>
      <c r="K17" s="9" t="n">
        <v>0</v>
      </c>
      <c r="L17" s="9" t="n">
        <v>9048865046</v>
      </c>
      <c r="M17" s="9" t="n">
        <v>572740000</v>
      </c>
      <c r="N17" s="9" t="n">
        <v>6440000000</v>
      </c>
      <c r="O17" s="9" t="n">
        <v>7718000000</v>
      </c>
      <c r="P17" s="9" t="n">
        <v>0</v>
      </c>
      <c r="Q17" s="9" t="n">
        <v>27537.431</v>
      </c>
      <c r="R17" s="9" t="n">
        <v>494.563</v>
      </c>
      <c r="S17" s="9" t="n">
        <v>0</v>
      </c>
      <c r="T17" s="9" t="n">
        <v>46651.636</v>
      </c>
      <c r="U17" s="9" t="n">
        <v>0</v>
      </c>
      <c r="V17" s="9" t="n">
        <v>27158.6506</v>
      </c>
      <c r="W17" s="9" t="n">
        <v>2967.3777</v>
      </c>
      <c r="X17" s="9" t="n">
        <v>38926.7343</v>
      </c>
      <c r="Y17" s="9" t="n">
        <v>0</v>
      </c>
      <c r="Z17" s="9" t="n">
        <v>0</v>
      </c>
      <c r="AA17" s="9" t="n">
        <v>54696.0816</v>
      </c>
      <c r="AB17" s="9" t="n">
        <v>3461.9407</v>
      </c>
      <c r="AC17" s="9" t="n">
        <v>38926.7343</v>
      </c>
      <c r="AD17" s="9" t="n">
        <v>46651.636</v>
      </c>
      <c r="AE17" s="9" t="n">
        <v>0</v>
      </c>
      <c r="AF17" s="9" t="n">
        <v>67558.31</v>
      </c>
      <c r="AG17" s="9" t="n">
        <v>165439</v>
      </c>
      <c r="AH17" s="9" t="n">
        <v>163640</v>
      </c>
      <c r="AI17" s="9" t="n">
        <v>201010000</v>
      </c>
      <c r="AJ17" s="9" t="n">
        <v>102420000</v>
      </c>
      <c r="AK17" s="9" t="n">
        <v>56490000</v>
      </c>
      <c r="AL17" s="9" t="n">
        <v>49113023</v>
      </c>
      <c r="AM17" s="9" t="n">
        <v>25900000</v>
      </c>
      <c r="AN17" s="9" t="n">
        <v>61610000</v>
      </c>
      <c r="AO17" s="9" t="n">
        <v>28000000</v>
      </c>
      <c r="AP17" s="9" t="n">
        <v>19884600</v>
      </c>
      <c r="AQ17" s="9" t="n">
        <v>2576</v>
      </c>
      <c r="AR17" s="9" t="n">
        <v>192490</v>
      </c>
      <c r="AS17" s="9" t="n">
        <v>5014</v>
      </c>
    </row>
    <row r="18">
      <c r="A18" s="11" t="n">
        <v>46075</v>
      </c>
      <c r="B18" s="9" t="n">
        <v>4525330232</v>
      </c>
      <c r="C18" s="9" t="n">
        <v>81851250</v>
      </c>
      <c r="D18" s="9" t="n">
        <v>0</v>
      </c>
      <c r="E18" s="9" t="n">
        <v>7718000000</v>
      </c>
      <c r="F18" s="9" t="n">
        <v>0</v>
      </c>
      <c r="G18" s="9" t="n">
        <v>4472242500</v>
      </c>
      <c r="H18" s="9" t="n">
        <v>491107500</v>
      </c>
      <c r="I18" s="9" t="n">
        <v>6112500000</v>
      </c>
      <c r="J18" s="9" t="n">
        <v>0</v>
      </c>
      <c r="K18" s="9" t="n">
        <v>0</v>
      </c>
      <c r="L18" s="9" t="n">
        <v>8997572732</v>
      </c>
      <c r="M18" s="9" t="n">
        <v>572958750</v>
      </c>
      <c r="N18" s="9" t="n">
        <v>6112500000</v>
      </c>
      <c r="O18" s="9" t="n">
        <v>7718000000</v>
      </c>
      <c r="P18" s="9" t="n">
        <v>0</v>
      </c>
      <c r="Q18" s="9" t="n">
        <v>27266.2816</v>
      </c>
      <c r="R18" s="9" t="n">
        <v>493.1749</v>
      </c>
      <c r="S18" s="9" t="n">
        <v>0</v>
      </c>
      <c r="T18" s="9" t="n">
        <v>46502.9403</v>
      </c>
      <c r="U18" s="9" t="n">
        <v>0</v>
      </c>
      <c r="V18" s="9" t="n">
        <v>26946.4144</v>
      </c>
      <c r="W18" s="9" t="n">
        <v>2959.0493</v>
      </c>
      <c r="X18" s="9" t="n">
        <v>36829.3888</v>
      </c>
      <c r="Y18" s="9" t="n">
        <v>0</v>
      </c>
      <c r="Z18" s="9" t="n">
        <v>0</v>
      </c>
      <c r="AA18" s="9" t="n">
        <v>54212.696</v>
      </c>
      <c r="AB18" s="9" t="n">
        <v>3452.2242</v>
      </c>
      <c r="AC18" s="9" t="n">
        <v>36829.3888</v>
      </c>
      <c r="AD18" s="9" t="n">
        <v>46502.9403</v>
      </c>
      <c r="AE18" s="9" t="n">
        <v>0</v>
      </c>
      <c r="AF18" s="9" t="n">
        <v>67638.565</v>
      </c>
      <c r="AG18" s="9" t="n">
        <v>165968</v>
      </c>
      <c r="AH18" s="9" t="n">
        <v>163702.5</v>
      </c>
      <c r="AI18" s="9" t="n">
        <v>199992500</v>
      </c>
      <c r="AJ18" s="9" t="n">
        <v>102510000</v>
      </c>
      <c r="AK18" s="9" t="n">
        <v>56630000</v>
      </c>
      <c r="AL18" s="9" t="n">
        <v>49234741</v>
      </c>
      <c r="AM18" s="9" t="n">
        <v>25900000</v>
      </c>
      <c r="AN18" s="9" t="n">
        <v>61610000</v>
      </c>
      <c r="AO18" s="9" t="n">
        <v>28000000</v>
      </c>
      <c r="AP18" s="9" t="n">
        <v>19698050</v>
      </c>
      <c r="AQ18" s="9" t="n">
        <v>2445</v>
      </c>
      <c r="AR18" s="9" t="n">
        <v>192955</v>
      </c>
      <c r="AS18" s="9" t="n">
        <v>5104</v>
      </c>
    </row>
    <row r="19">
      <c r="A19" s="11" t="n">
        <v>46077</v>
      </c>
      <c r="B19" s="9" t="n">
        <v>4557542648.6667</v>
      </c>
      <c r="C19" s="9" t="n">
        <v>81879166.66670001</v>
      </c>
      <c r="D19" s="9" t="n">
        <v>0</v>
      </c>
      <c r="E19" s="9" t="n">
        <v>7718000000</v>
      </c>
      <c r="F19" s="9" t="n">
        <v>0</v>
      </c>
      <c r="G19" s="9" t="n">
        <v>4472998333.3333</v>
      </c>
      <c r="H19" s="9" t="n">
        <v>491275000</v>
      </c>
      <c r="I19" s="9" t="n">
        <v>6104166666.6667</v>
      </c>
      <c r="J19" s="9" t="n">
        <v>0</v>
      </c>
      <c r="K19" s="9" t="n">
        <v>0</v>
      </c>
      <c r="L19" s="9" t="n">
        <v>9030540982</v>
      </c>
      <c r="M19" s="9" t="n">
        <v>573154166.6667</v>
      </c>
      <c r="N19" s="9" t="n">
        <v>6104166666.6667</v>
      </c>
      <c r="O19" s="9" t="n">
        <v>7718000000</v>
      </c>
      <c r="P19" s="9" t="n">
        <v>0</v>
      </c>
      <c r="Q19" s="9" t="n">
        <v>27512.9196</v>
      </c>
      <c r="R19" s="9" t="n">
        <v>494.2872</v>
      </c>
      <c r="S19" s="9" t="n">
        <v>0</v>
      </c>
      <c r="T19" s="9" t="n">
        <v>46591.9312</v>
      </c>
      <c r="U19" s="9" t="n">
        <v>0</v>
      </c>
      <c r="V19" s="9" t="n">
        <v>27002.5435</v>
      </c>
      <c r="W19" s="9" t="n">
        <v>2965.7231</v>
      </c>
      <c r="X19" s="9" t="n">
        <v>36849.5612</v>
      </c>
      <c r="Y19" s="9" t="n">
        <v>0</v>
      </c>
      <c r="Z19" s="9" t="n">
        <v>0</v>
      </c>
      <c r="AA19" s="9" t="n">
        <v>54515.4631</v>
      </c>
      <c r="AB19" s="9" t="n">
        <v>3460.0103</v>
      </c>
      <c r="AC19" s="9" t="n">
        <v>36849.5612</v>
      </c>
      <c r="AD19" s="9" t="n">
        <v>46591.9312</v>
      </c>
      <c r="AE19" s="9" t="n">
        <v>0</v>
      </c>
      <c r="AF19" s="9" t="n">
        <v>64066.9367</v>
      </c>
      <c r="AG19" s="9" t="n">
        <v>165651</v>
      </c>
      <c r="AH19" s="9" t="n">
        <v>163758.3333</v>
      </c>
      <c r="AI19" s="9" t="n">
        <v>200001666.6667</v>
      </c>
      <c r="AJ19" s="9" t="n">
        <v>103073333.3333</v>
      </c>
      <c r="AK19" s="9" t="n">
        <v>56630000</v>
      </c>
      <c r="AL19" s="9" t="n">
        <v>49234741</v>
      </c>
      <c r="AM19" s="9" t="n">
        <v>25900000</v>
      </c>
      <c r="AN19" s="9" t="n">
        <v>61610000</v>
      </c>
      <c r="AO19" s="9" t="n">
        <v>28500000</v>
      </c>
      <c r="AP19" s="9" t="n">
        <v>19881100</v>
      </c>
      <c r="AQ19" s="9" t="n">
        <v>2441.6667</v>
      </c>
      <c r="AR19" s="9" t="n">
        <v>193080</v>
      </c>
      <c r="AS19" s="9" t="n">
        <v>5186.3333</v>
      </c>
    </row>
    <row r="20">
      <c r="A20" s="11" t="n">
        <v>46078</v>
      </c>
      <c r="B20" s="9" t="n">
        <v>4596867752.2857</v>
      </c>
      <c r="C20" s="9" t="n">
        <v>82274285.71430001</v>
      </c>
      <c r="D20" s="9" t="n">
        <v>0</v>
      </c>
      <c r="E20" s="9" t="n">
        <v>7718000000</v>
      </c>
      <c r="F20" s="9" t="n">
        <v>0</v>
      </c>
      <c r="G20" s="9" t="n">
        <v>4507260000</v>
      </c>
      <c r="H20" s="9" t="n">
        <v>493645714.2857</v>
      </c>
      <c r="I20" s="9" t="n">
        <v>6130357142.8571</v>
      </c>
      <c r="J20" s="9" t="n">
        <v>0</v>
      </c>
      <c r="K20" s="9" t="n">
        <v>0</v>
      </c>
      <c r="L20" s="9" t="n">
        <v>9104127752.2857</v>
      </c>
      <c r="M20" s="9" t="n">
        <v>575920000</v>
      </c>
      <c r="N20" s="9" t="n">
        <v>6130357142.8571</v>
      </c>
      <c r="O20" s="9" t="n">
        <v>7718000000</v>
      </c>
      <c r="P20" s="9" t="n">
        <v>0</v>
      </c>
      <c r="Q20" s="9" t="n">
        <v>27602.5157</v>
      </c>
      <c r="R20" s="9" t="n">
        <v>494.0271</v>
      </c>
      <c r="S20" s="9" t="n">
        <v>0</v>
      </c>
      <c r="T20" s="9" t="n">
        <v>46343.7774</v>
      </c>
      <c r="U20" s="9" t="n">
        <v>0</v>
      </c>
      <c r="V20" s="9" t="n">
        <v>27064.4538</v>
      </c>
      <c r="W20" s="9" t="n">
        <v>2964.1626</v>
      </c>
      <c r="X20" s="9" t="n">
        <v>36810.5606</v>
      </c>
      <c r="Y20" s="9" t="n">
        <v>0</v>
      </c>
      <c r="Z20" s="9" t="n">
        <v>0</v>
      </c>
      <c r="AA20" s="9" t="n">
        <v>54666.9694</v>
      </c>
      <c r="AB20" s="9" t="n">
        <v>3458.1897</v>
      </c>
      <c r="AC20" s="9" t="n">
        <v>36810.5606</v>
      </c>
      <c r="AD20" s="9" t="n">
        <v>46343.7774</v>
      </c>
      <c r="AE20" s="9" t="n">
        <v>0</v>
      </c>
      <c r="AF20" s="9" t="n">
        <v>65197.0929</v>
      </c>
      <c r="AG20" s="9" t="n">
        <v>166538</v>
      </c>
      <c r="AH20" s="9" t="n">
        <v>164548.5714</v>
      </c>
      <c r="AI20" s="9" t="n">
        <v>201507142.8571</v>
      </c>
      <c r="AJ20" s="9" t="n">
        <v>103607142.8571</v>
      </c>
      <c r="AK20" s="9" t="n">
        <v>57334285.7143</v>
      </c>
      <c r="AL20" s="9" t="n">
        <v>49847054.7143</v>
      </c>
      <c r="AM20" s="9" t="n">
        <v>25900000</v>
      </c>
      <c r="AN20" s="9" t="n">
        <v>61610000</v>
      </c>
      <c r="AO20" s="9" t="n">
        <v>28785714.2857</v>
      </c>
      <c r="AP20" s="9" t="n">
        <v>20061814.2857</v>
      </c>
      <c r="AQ20" s="9" t="n">
        <v>2452.1429</v>
      </c>
      <c r="AR20" s="9" t="n">
        <v>194061.4286</v>
      </c>
      <c r="AS20" s="9" t="n">
        <v>5167.2857</v>
      </c>
    </row>
    <row r="21">
      <c r="A21" s="11" t="n">
        <v>46079</v>
      </c>
      <c r="B21" s="9" t="n">
        <v>4622832002.6667</v>
      </c>
      <c r="C21" s="9" t="n">
        <v>82570833.33329999</v>
      </c>
      <c r="D21" s="9" t="n">
        <v>0</v>
      </c>
      <c r="E21" s="9" t="n">
        <v>7718000000</v>
      </c>
      <c r="F21" s="9" t="n">
        <v>0</v>
      </c>
      <c r="G21" s="9" t="n">
        <v>4534435000</v>
      </c>
      <c r="H21" s="9" t="n">
        <v>495425000</v>
      </c>
      <c r="I21" s="9" t="n">
        <v>6200000000</v>
      </c>
      <c r="J21" s="9" t="n">
        <v>0</v>
      </c>
      <c r="K21" s="9" t="n">
        <v>0</v>
      </c>
      <c r="L21" s="9" t="n">
        <v>9157267002.6667</v>
      </c>
      <c r="M21" s="9" t="n">
        <v>577995833.3333</v>
      </c>
      <c r="N21" s="9" t="n">
        <v>6200000000</v>
      </c>
      <c r="O21" s="9" t="n">
        <v>7718000000</v>
      </c>
      <c r="P21" s="9" t="n">
        <v>0</v>
      </c>
      <c r="Q21" s="9" t="n">
        <v>27891.2305</v>
      </c>
      <c r="R21" s="9" t="n">
        <v>498.1799</v>
      </c>
      <c r="S21" s="9" t="n">
        <v>0</v>
      </c>
      <c r="T21" s="9" t="n">
        <v>46565.5073</v>
      </c>
      <c r="U21" s="9" t="n">
        <v>0</v>
      </c>
      <c r="V21" s="9" t="n">
        <v>27357.8992</v>
      </c>
      <c r="W21" s="9" t="n">
        <v>2989.0796</v>
      </c>
      <c r="X21" s="9" t="n">
        <v>37406.8599</v>
      </c>
      <c r="Y21" s="9" t="n">
        <v>0</v>
      </c>
      <c r="Z21" s="9" t="n">
        <v>0</v>
      </c>
      <c r="AA21" s="9" t="n">
        <v>55249.1297</v>
      </c>
      <c r="AB21" s="9" t="n">
        <v>3487.2595</v>
      </c>
      <c r="AC21" s="9" t="n">
        <v>37406.8599</v>
      </c>
      <c r="AD21" s="9" t="n">
        <v>46565.5073</v>
      </c>
      <c r="AE21" s="9" t="n">
        <v>0</v>
      </c>
      <c r="AF21" s="9" t="n">
        <v>68571.28</v>
      </c>
      <c r="AG21" s="9" t="n">
        <v>165745</v>
      </c>
      <c r="AH21" s="9" t="n">
        <v>165141.6667</v>
      </c>
      <c r="AI21" s="9" t="n">
        <v>202655000</v>
      </c>
      <c r="AJ21" s="9" t="n">
        <v>104770000</v>
      </c>
      <c r="AK21" s="9" t="n">
        <v>57970000</v>
      </c>
      <c r="AL21" s="9" t="n">
        <v>50399751.3333</v>
      </c>
      <c r="AM21" s="9" t="n">
        <v>25900000</v>
      </c>
      <c r="AN21" s="9" t="n">
        <v>61610000</v>
      </c>
      <c r="AO21" s="9" t="n">
        <v>29000000</v>
      </c>
      <c r="AP21" s="9" t="n">
        <v>20169500</v>
      </c>
      <c r="AQ21" s="9" t="n">
        <v>2480</v>
      </c>
      <c r="AR21" s="9" t="n">
        <v>194966.6667</v>
      </c>
      <c r="AS21" s="9" t="n">
        <v>5165.6667</v>
      </c>
    </row>
    <row r="22">
      <c r="A22" s="11" t="n">
        <v>46080</v>
      </c>
      <c r="B22" s="9" t="n">
        <v>4595582498</v>
      </c>
      <c r="C22" s="9" t="n">
        <v>82625000</v>
      </c>
      <c r="D22" s="9" t="n">
        <v>0</v>
      </c>
      <c r="E22" s="9" t="n">
        <v>7718000000</v>
      </c>
      <c r="F22" s="9" t="n">
        <v>0</v>
      </c>
      <c r="G22" s="9" t="n">
        <v>4506785000</v>
      </c>
      <c r="H22" s="9" t="n">
        <v>495750000</v>
      </c>
      <c r="I22" s="9" t="n">
        <v>6200000000</v>
      </c>
      <c r="J22" s="9" t="n">
        <v>0</v>
      </c>
      <c r="K22" s="9" t="n">
        <v>0</v>
      </c>
      <c r="L22" s="9" t="n">
        <v>9102367498</v>
      </c>
      <c r="M22" s="9" t="n">
        <v>578375000</v>
      </c>
      <c r="N22" s="9" t="n">
        <v>6200000000</v>
      </c>
      <c r="O22" s="9" t="n">
        <v>7718000000</v>
      </c>
      <c r="P22" s="9" t="n">
        <v>0</v>
      </c>
      <c r="Q22" s="9" t="n">
        <v>27463.0386</v>
      </c>
      <c r="R22" s="9" t="n">
        <v>493.7641</v>
      </c>
      <c r="S22" s="9" t="n">
        <v>0</v>
      </c>
      <c r="T22" s="9" t="n">
        <v>46122.4953</v>
      </c>
      <c r="U22" s="9" t="n">
        <v>0</v>
      </c>
      <c r="V22" s="9" t="n">
        <v>26932.3879</v>
      </c>
      <c r="W22" s="9" t="n">
        <v>2962.5845</v>
      </c>
      <c r="X22" s="9" t="n">
        <v>37050.981</v>
      </c>
      <c r="Y22" s="9" t="n">
        <v>0</v>
      </c>
      <c r="Z22" s="9" t="n">
        <v>0</v>
      </c>
      <c r="AA22" s="9" t="n">
        <v>54395.4266</v>
      </c>
      <c r="AB22" s="9" t="n">
        <v>3456.3486</v>
      </c>
      <c r="AC22" s="9" t="n">
        <v>37050.981</v>
      </c>
      <c r="AD22" s="9" t="n">
        <v>46122.4953</v>
      </c>
      <c r="AE22" s="9" t="n">
        <v>0</v>
      </c>
      <c r="AF22" s="9" t="n">
        <v>67238.5</v>
      </c>
      <c r="AG22" s="9" t="n">
        <v>167337</v>
      </c>
      <c r="AH22" s="9" t="n">
        <v>165250</v>
      </c>
      <c r="AI22" s="9" t="n">
        <v>201485000</v>
      </c>
      <c r="AJ22" s="9" t="n">
        <v>103970000</v>
      </c>
      <c r="AK22" s="9" t="n">
        <v>57210000</v>
      </c>
      <c r="AL22" s="9" t="n">
        <v>49738999</v>
      </c>
      <c r="AM22" s="9" t="n">
        <v>25900000</v>
      </c>
      <c r="AN22" s="9" t="n">
        <v>61610000</v>
      </c>
      <c r="AO22" s="9" t="n">
        <v>29000000</v>
      </c>
      <c r="AP22" s="9" t="n">
        <v>20056300</v>
      </c>
      <c r="AQ22" s="9" t="n">
        <v>2480</v>
      </c>
      <c r="AR22" s="9" t="n">
        <v>195185</v>
      </c>
      <c r="AS22" s="9" t="n">
        <v>5171</v>
      </c>
    </row>
    <row r="23">
      <c r="A23" s="11" t="n">
        <v>46081</v>
      </c>
      <c r="B23" s="9" t="n">
        <v>4638543678</v>
      </c>
      <c r="C23" s="9" t="n">
        <v>83167500</v>
      </c>
      <c r="D23" s="9" t="n">
        <v>0</v>
      </c>
      <c r="E23" s="9" t="n">
        <v>7718000000</v>
      </c>
      <c r="F23" s="9" t="n">
        <v>0</v>
      </c>
      <c r="G23" s="9" t="n">
        <v>4675960000</v>
      </c>
      <c r="H23" s="9" t="n">
        <v>499005000</v>
      </c>
      <c r="I23" s="9" t="n">
        <v>6200000000</v>
      </c>
      <c r="J23" s="9" t="n">
        <v>0</v>
      </c>
      <c r="K23" s="9" t="n">
        <v>0</v>
      </c>
      <c r="L23" s="9" t="n">
        <v>9314503678</v>
      </c>
      <c r="M23" s="9" t="n">
        <v>582172500</v>
      </c>
      <c r="N23" s="9" t="n">
        <v>6200000000</v>
      </c>
      <c r="O23" s="9" t="n">
        <v>7718000000</v>
      </c>
      <c r="P23" s="9" t="n">
        <v>0</v>
      </c>
      <c r="Q23" s="9" t="n">
        <v>27098.8875</v>
      </c>
      <c r="R23" s="9" t="n">
        <v>485.8738</v>
      </c>
      <c r="S23" s="9" t="n">
        <v>0</v>
      </c>
      <c r="T23" s="9" t="n">
        <v>45089.4135</v>
      </c>
      <c r="U23" s="9" t="n">
        <v>0</v>
      </c>
      <c r="V23" s="9" t="n">
        <v>27317.4778</v>
      </c>
      <c r="W23" s="9" t="n">
        <v>2915.2427</v>
      </c>
      <c r="X23" s="9" t="n">
        <v>36221.0889</v>
      </c>
      <c r="Y23" s="9" t="n">
        <v>0</v>
      </c>
      <c r="Z23" s="9" t="n">
        <v>0</v>
      </c>
      <c r="AA23" s="9" t="n">
        <v>54416.3654</v>
      </c>
      <c r="AB23" s="9" t="n">
        <v>3401.1164</v>
      </c>
      <c r="AC23" s="9" t="n">
        <v>36221.0889</v>
      </c>
      <c r="AD23" s="9" t="n">
        <v>45089.4135</v>
      </c>
      <c r="AE23" s="9" t="n">
        <v>0</v>
      </c>
      <c r="AF23" s="9" t="n">
        <v>63111</v>
      </c>
      <c r="AG23" s="9" t="n">
        <v>171171</v>
      </c>
      <c r="AH23" s="9" t="n">
        <v>166335</v>
      </c>
      <c r="AI23" s="9" t="n">
        <v>209010000</v>
      </c>
      <c r="AJ23" s="9" t="n">
        <v>108190000</v>
      </c>
      <c r="AK23" s="9" t="n">
        <v>59520000</v>
      </c>
      <c r="AL23" s="9" t="n">
        <v>51747339</v>
      </c>
      <c r="AM23" s="9" t="n">
        <v>25900000</v>
      </c>
      <c r="AN23" s="9" t="n">
        <v>61610000</v>
      </c>
      <c r="AO23" s="9" t="n">
        <v>29500000</v>
      </c>
      <c r="AP23" s="9" t="n">
        <v>20122600</v>
      </c>
      <c r="AQ23" s="9" t="n">
        <v>2480</v>
      </c>
      <c r="AR23" s="9" t="n">
        <v>196690</v>
      </c>
      <c r="AS23" s="9" t="n">
        <v>5279</v>
      </c>
    </row>
    <row r="24">
      <c r="A24" s="11" t="n">
        <v>46082</v>
      </c>
      <c r="B24" s="9" t="n">
        <v>4638484928</v>
      </c>
      <c r="C24" s="9" t="n">
        <v>83176250</v>
      </c>
      <c r="D24" s="9" t="n">
        <v>0</v>
      </c>
      <c r="E24" s="9" t="n">
        <v>7718000000</v>
      </c>
      <c r="F24" s="9" t="n">
        <v>0</v>
      </c>
      <c r="G24" s="9" t="n">
        <v>4675592500</v>
      </c>
      <c r="H24" s="9" t="n">
        <v>499057500</v>
      </c>
      <c r="I24" s="9" t="n">
        <v>6101250000</v>
      </c>
      <c r="J24" s="9" t="n">
        <v>0</v>
      </c>
      <c r="K24" s="9" t="n">
        <v>0</v>
      </c>
      <c r="L24" s="9" t="n">
        <v>9314077428</v>
      </c>
      <c r="M24" s="9" t="n">
        <v>582233750</v>
      </c>
      <c r="N24" s="9" t="n">
        <v>6101250000</v>
      </c>
      <c r="O24" s="9" t="n">
        <v>7718000000</v>
      </c>
      <c r="P24" s="9" t="n">
        <v>0</v>
      </c>
      <c r="Q24" s="9" t="n">
        <v>28593.4394</v>
      </c>
      <c r="R24" s="9" t="n">
        <v>512.731</v>
      </c>
      <c r="S24" s="9" t="n">
        <v>0</v>
      </c>
      <c r="T24" s="9" t="n">
        <v>47576.7775</v>
      </c>
      <c r="U24" s="9" t="n">
        <v>0</v>
      </c>
      <c r="V24" s="9" t="n">
        <v>28822.185</v>
      </c>
      <c r="W24" s="9" t="n">
        <v>3076.3861</v>
      </c>
      <c r="X24" s="9" t="n">
        <v>37610.4967</v>
      </c>
      <c r="Y24" s="9" t="n">
        <v>0</v>
      </c>
      <c r="Z24" s="9" t="n">
        <v>0</v>
      </c>
      <c r="AA24" s="9" t="n">
        <v>57415.6244</v>
      </c>
      <c r="AB24" s="9" t="n">
        <v>3589.1171</v>
      </c>
      <c r="AC24" s="9" t="n">
        <v>37610.4967</v>
      </c>
      <c r="AD24" s="9" t="n">
        <v>47576.7775</v>
      </c>
      <c r="AE24" s="9" t="n">
        <v>0</v>
      </c>
      <c r="AF24" s="9" t="n">
        <v>66627.205</v>
      </c>
      <c r="AG24" s="9" t="n">
        <v>162222</v>
      </c>
      <c r="AH24" s="9" t="n">
        <v>166352.5</v>
      </c>
      <c r="AI24" s="9" t="n">
        <v>208992500</v>
      </c>
      <c r="AJ24" s="9" t="n">
        <v>108190000</v>
      </c>
      <c r="AK24" s="9" t="n">
        <v>59520000</v>
      </c>
      <c r="AL24" s="9" t="n">
        <v>51747339</v>
      </c>
      <c r="AM24" s="9" t="n">
        <v>25900000</v>
      </c>
      <c r="AN24" s="9" t="n">
        <v>61610000</v>
      </c>
      <c r="AO24" s="9" t="n">
        <v>29500000</v>
      </c>
      <c r="AP24" s="9" t="n">
        <v>20122350</v>
      </c>
      <c r="AQ24" s="9" t="n">
        <v>2440.5</v>
      </c>
      <c r="AR24" s="9" t="n">
        <v>196655</v>
      </c>
      <c r="AS24" s="9" t="n">
        <v>5277</v>
      </c>
    </row>
    <row r="25">
      <c r="A25" s="11" t="n">
        <v>46083</v>
      </c>
      <c r="B25" s="9" t="n">
        <v>4638538678</v>
      </c>
      <c r="C25" s="9" t="n">
        <v>83182500</v>
      </c>
      <c r="D25" s="9" t="n">
        <v>0</v>
      </c>
      <c r="E25" s="9" t="n">
        <v>7718000000</v>
      </c>
      <c r="F25" s="9" t="n">
        <v>0</v>
      </c>
      <c r="G25" s="9" t="n">
        <v>4675855000</v>
      </c>
      <c r="H25" s="9" t="n">
        <v>499095000</v>
      </c>
      <c r="I25" s="9" t="n">
        <v>6002500000</v>
      </c>
      <c r="J25" s="9" t="n">
        <v>0</v>
      </c>
      <c r="K25" s="9" t="n">
        <v>0</v>
      </c>
      <c r="L25" s="9" t="n">
        <v>9314393678</v>
      </c>
      <c r="M25" s="9" t="n">
        <v>582277500</v>
      </c>
      <c r="N25" s="9" t="n">
        <v>6002500000</v>
      </c>
      <c r="O25" s="9" t="n">
        <v>7718000000</v>
      </c>
      <c r="P25" s="9" t="n">
        <v>0</v>
      </c>
      <c r="Q25" s="9" t="n">
        <v>28814.7367</v>
      </c>
      <c r="R25" s="9" t="n">
        <v>516.7320999999999</v>
      </c>
      <c r="S25" s="9" t="n">
        <v>0</v>
      </c>
      <c r="T25" s="9" t="n">
        <v>47944.4396</v>
      </c>
      <c r="U25" s="9" t="n">
        <v>0</v>
      </c>
      <c r="V25" s="9" t="n">
        <v>29046.5467</v>
      </c>
      <c r="W25" s="9" t="n">
        <v>3100.3926</v>
      </c>
      <c r="X25" s="9" t="n">
        <v>37287.7039</v>
      </c>
      <c r="Y25" s="9" t="n">
        <v>0</v>
      </c>
      <c r="Z25" s="9" t="n">
        <v>0</v>
      </c>
      <c r="AA25" s="9" t="n">
        <v>57861.2834</v>
      </c>
      <c r="AB25" s="9" t="n">
        <v>3617.1247</v>
      </c>
      <c r="AC25" s="9" t="n">
        <v>37287.7039</v>
      </c>
      <c r="AD25" s="9" t="n">
        <v>47944.4396</v>
      </c>
      <c r="AE25" s="9" t="n">
        <v>0</v>
      </c>
      <c r="AF25" s="9" t="n">
        <v>66221.45</v>
      </c>
      <c r="AG25" s="9" t="n">
        <v>160978</v>
      </c>
      <c r="AH25" s="9" t="n">
        <v>166365</v>
      </c>
      <c r="AI25" s="9" t="n">
        <v>209005000</v>
      </c>
      <c r="AJ25" s="9" t="n">
        <v>108190000</v>
      </c>
      <c r="AK25" s="9" t="n">
        <v>59520000</v>
      </c>
      <c r="AL25" s="9" t="n">
        <v>51747339</v>
      </c>
      <c r="AM25" s="9" t="n">
        <v>25900000</v>
      </c>
      <c r="AN25" s="9" t="n">
        <v>61610000</v>
      </c>
      <c r="AO25" s="9" t="n">
        <v>29500000</v>
      </c>
      <c r="AP25" s="9" t="n">
        <v>20122600</v>
      </c>
      <c r="AQ25" s="9" t="n">
        <v>2401</v>
      </c>
      <c r="AR25" s="9" t="n">
        <v>196660</v>
      </c>
      <c r="AS25" s="9" t="n">
        <v>5277</v>
      </c>
    </row>
    <row r="26">
      <c r="A26" s="11" t="n">
        <v>46084</v>
      </c>
      <c r="B26" s="9" t="n">
        <v>4638284400</v>
      </c>
      <c r="C26" s="9" t="n">
        <v>83170000</v>
      </c>
      <c r="D26" s="9" t="n">
        <v>0</v>
      </c>
      <c r="E26" s="9" t="n">
        <v>7718000000</v>
      </c>
      <c r="F26" s="9" t="n">
        <v>0</v>
      </c>
      <c r="G26" s="9" t="n">
        <v>4675395000</v>
      </c>
      <c r="H26" s="9" t="n">
        <v>499020000</v>
      </c>
      <c r="I26" s="9" t="n">
        <v>6002500000</v>
      </c>
      <c r="J26" s="9" t="n">
        <v>0</v>
      </c>
      <c r="K26" s="9" t="n">
        <v>0</v>
      </c>
      <c r="L26" s="9" t="n">
        <v>9313679400</v>
      </c>
      <c r="M26" s="9" t="n">
        <v>582190000</v>
      </c>
      <c r="N26" s="9" t="n">
        <v>6002500000</v>
      </c>
      <c r="O26" s="9" t="n">
        <v>7718000000</v>
      </c>
      <c r="P26" s="9" t="n">
        <v>0</v>
      </c>
      <c r="Q26" s="9" t="n">
        <v>29183.1631</v>
      </c>
      <c r="R26" s="9" t="n">
        <v>523.2891</v>
      </c>
      <c r="S26" s="9" t="n">
        <v>0</v>
      </c>
      <c r="T26" s="9" t="n">
        <v>48560.1213</v>
      </c>
      <c r="U26" s="9" t="n">
        <v>0</v>
      </c>
      <c r="V26" s="9" t="n">
        <v>29416.6557</v>
      </c>
      <c r="W26" s="9" t="n">
        <v>3139.7346</v>
      </c>
      <c r="X26" s="9" t="n">
        <v>37766.5364</v>
      </c>
      <c r="Y26" s="9" t="n">
        <v>0</v>
      </c>
      <c r="Z26" s="9" t="n">
        <v>0</v>
      </c>
      <c r="AA26" s="9" t="n">
        <v>58599.8188</v>
      </c>
      <c r="AB26" s="9" t="n">
        <v>3663.0237</v>
      </c>
      <c r="AC26" s="9" t="n">
        <v>37766.5364</v>
      </c>
      <c r="AD26" s="9" t="n">
        <v>48560.1213</v>
      </c>
      <c r="AE26" s="9" t="n">
        <v>0</v>
      </c>
      <c r="AF26" s="9" t="n">
        <v>67794</v>
      </c>
      <c r="AG26" s="9" t="n">
        <v>158937</v>
      </c>
      <c r="AH26" s="9" t="n">
        <v>166340</v>
      </c>
      <c r="AI26" s="9" t="n">
        <v>208995000</v>
      </c>
      <c r="AJ26" s="9" t="n">
        <v>108000000</v>
      </c>
      <c r="AK26" s="9" t="n">
        <v>59500000</v>
      </c>
      <c r="AL26" s="9" t="n">
        <v>51729950</v>
      </c>
      <c r="AM26" s="9" t="n">
        <v>25900000</v>
      </c>
      <c r="AN26" s="9" t="n">
        <v>61610000</v>
      </c>
      <c r="AO26" s="9" t="n">
        <v>29500000</v>
      </c>
      <c r="AP26" s="9" t="n">
        <v>20122300</v>
      </c>
      <c r="AQ26" s="9" t="n">
        <v>2401</v>
      </c>
      <c r="AR26" s="9" t="n">
        <v>194260</v>
      </c>
      <c r="AS26" s="9" t="n">
        <v>5314</v>
      </c>
    </row>
    <row r="27">
      <c r="A27" s="11" t="n">
        <v>46087</v>
      </c>
      <c r="B27" s="9" t="n">
        <v>4389390292</v>
      </c>
      <c r="C27" s="9" t="n">
        <v>83165000</v>
      </c>
      <c r="D27" s="9" t="n">
        <v>0</v>
      </c>
      <c r="E27" s="9" t="n">
        <v>7718000000</v>
      </c>
      <c r="F27" s="9" t="n">
        <v>0</v>
      </c>
      <c r="G27" s="9" t="n">
        <v>4308500000</v>
      </c>
      <c r="H27" s="9" t="n">
        <v>498990000</v>
      </c>
      <c r="I27" s="9" t="n">
        <v>6002500000</v>
      </c>
      <c r="J27" s="9" t="n">
        <v>0</v>
      </c>
      <c r="K27" s="9" t="n">
        <v>0</v>
      </c>
      <c r="L27" s="9" t="n">
        <v>8697890292</v>
      </c>
      <c r="M27" s="9" t="n">
        <v>582155000</v>
      </c>
      <c r="N27" s="9" t="n">
        <v>6002500000</v>
      </c>
      <c r="O27" s="9" t="n">
        <v>7718000000</v>
      </c>
      <c r="P27" s="9" t="n">
        <v>0</v>
      </c>
      <c r="Q27" s="9" t="n">
        <v>28114.5895</v>
      </c>
      <c r="R27" s="9" t="n">
        <v>532.6821</v>
      </c>
      <c r="S27" s="9" t="n">
        <v>0</v>
      </c>
      <c r="T27" s="9" t="n">
        <v>49434.7478</v>
      </c>
      <c r="U27" s="9" t="n">
        <v>0</v>
      </c>
      <c r="V27" s="9" t="n">
        <v>27596.4772</v>
      </c>
      <c r="W27" s="9" t="n">
        <v>3196.0929</v>
      </c>
      <c r="X27" s="9" t="n">
        <v>38446.7574</v>
      </c>
      <c r="Y27" s="9" t="n">
        <v>0</v>
      </c>
      <c r="Z27" s="9" t="n">
        <v>0</v>
      </c>
      <c r="AA27" s="9" t="n">
        <v>55711.0667</v>
      </c>
      <c r="AB27" s="9" t="n">
        <v>3728.775</v>
      </c>
      <c r="AC27" s="9" t="n">
        <v>38446.7574</v>
      </c>
      <c r="AD27" s="9" t="n">
        <v>49434.7478</v>
      </c>
      <c r="AE27" s="9" t="n">
        <v>0</v>
      </c>
      <c r="AF27" s="9" t="n">
        <v>69748.6033</v>
      </c>
      <c r="AG27" s="9" t="n">
        <v>156125</v>
      </c>
      <c r="AH27" s="9" t="n">
        <v>166330</v>
      </c>
      <c r="AI27" s="9" t="n">
        <v>192500000</v>
      </c>
      <c r="AJ27" s="9" t="n">
        <v>102500000</v>
      </c>
      <c r="AK27" s="9" t="n">
        <v>54500000</v>
      </c>
      <c r="AL27" s="9" t="n">
        <v>47382896</v>
      </c>
      <c r="AM27" s="9" t="n">
        <v>25900000</v>
      </c>
      <c r="AN27" s="9" t="n">
        <v>61610000</v>
      </c>
      <c r="AO27" s="9" t="n">
        <v>28000000</v>
      </c>
      <c r="AP27" s="9" t="n">
        <v>19045300</v>
      </c>
      <c r="AQ27" s="9" t="n">
        <v>2401</v>
      </c>
      <c r="AR27" s="9" t="n">
        <v>193290</v>
      </c>
      <c r="AS27" s="9" t="n">
        <v>5127.3333</v>
      </c>
    </row>
    <row r="28">
      <c r="A28" s="11" t="n">
        <v>46088</v>
      </c>
      <c r="B28" s="9" t="n">
        <v>4228715847.6667</v>
      </c>
      <c r="C28" s="9" t="n">
        <v>83177083.33329999</v>
      </c>
      <c r="D28" s="9" t="n">
        <v>0</v>
      </c>
      <c r="E28" s="9" t="n">
        <v>7718000000</v>
      </c>
      <c r="F28" s="9" t="n">
        <v>0</v>
      </c>
      <c r="G28" s="9" t="n">
        <v>4090048333.3333</v>
      </c>
      <c r="H28" s="9" t="n">
        <v>499062500</v>
      </c>
      <c r="I28" s="9" t="n">
        <v>6002500000</v>
      </c>
      <c r="J28" s="9" t="n">
        <v>0</v>
      </c>
      <c r="K28" s="9" t="n">
        <v>0</v>
      </c>
      <c r="L28" s="9" t="n">
        <v>8318764181</v>
      </c>
      <c r="M28" s="9" t="n">
        <v>582239583.3333</v>
      </c>
      <c r="N28" s="9" t="n">
        <v>6002500000</v>
      </c>
      <c r="O28" s="9" t="n">
        <v>7718000000</v>
      </c>
      <c r="P28" s="9" t="n">
        <v>0</v>
      </c>
      <c r="Q28" s="9" t="n">
        <v>27407.5821</v>
      </c>
      <c r="R28" s="9" t="n">
        <v>539.0958000000001</v>
      </c>
      <c r="S28" s="9" t="n">
        <v>0</v>
      </c>
      <c r="T28" s="9" t="n">
        <v>50022.6846</v>
      </c>
      <c r="U28" s="9" t="n">
        <v>0</v>
      </c>
      <c r="V28" s="9" t="n">
        <v>26508.8362</v>
      </c>
      <c r="W28" s="9" t="n">
        <v>3234.5745</v>
      </c>
      <c r="X28" s="9" t="n">
        <v>38904.0119</v>
      </c>
      <c r="Y28" s="9" t="n">
        <v>0</v>
      </c>
      <c r="Z28" s="9" t="n">
        <v>0</v>
      </c>
      <c r="AA28" s="9" t="n">
        <v>53916.4183</v>
      </c>
      <c r="AB28" s="9" t="n">
        <v>3773.6703</v>
      </c>
      <c r="AC28" s="9" t="n">
        <v>38904.0119</v>
      </c>
      <c r="AD28" s="9" t="n">
        <v>50022.6846</v>
      </c>
      <c r="AE28" s="9" t="n">
        <v>0</v>
      </c>
      <c r="AF28" s="9" t="n">
        <v>67958.0033</v>
      </c>
      <c r="AG28" s="9" t="n">
        <v>154290</v>
      </c>
      <c r="AH28" s="9" t="n">
        <v>166354.1667</v>
      </c>
      <c r="AI28" s="9" t="n">
        <v>182415000</v>
      </c>
      <c r="AJ28" s="9" t="n">
        <v>99583333.33329999</v>
      </c>
      <c r="AK28" s="9" t="n">
        <v>53250000</v>
      </c>
      <c r="AL28" s="9" t="n">
        <v>46296132.1667</v>
      </c>
      <c r="AM28" s="9" t="n">
        <v>25900000</v>
      </c>
      <c r="AN28" s="9" t="n">
        <v>61610000</v>
      </c>
      <c r="AO28" s="9" t="n">
        <v>27583333.3333</v>
      </c>
      <c r="AP28" s="9" t="n">
        <v>18216516.6667</v>
      </c>
      <c r="AQ28" s="9" t="n">
        <v>2401</v>
      </c>
      <c r="AR28" s="9" t="n">
        <v>193323.3333</v>
      </c>
      <c r="AS28" s="9" t="n">
        <v>5171</v>
      </c>
    </row>
    <row r="29">
      <c r="A29" s="11" t="n">
        <v>46089</v>
      </c>
      <c r="B29" s="9" t="n">
        <v>4143752273</v>
      </c>
      <c r="C29" s="9" t="n">
        <v>83176250</v>
      </c>
      <c r="D29" s="9" t="n">
        <v>0</v>
      </c>
      <c r="E29" s="9" t="n">
        <v>7718000000</v>
      </c>
      <c r="F29" s="9" t="n">
        <v>0</v>
      </c>
      <c r="G29" s="9" t="n">
        <v>4030750000</v>
      </c>
      <c r="H29" s="9" t="n">
        <v>499057500</v>
      </c>
      <c r="I29" s="9" t="n">
        <v>6002500000</v>
      </c>
      <c r="J29" s="9" t="n">
        <v>0</v>
      </c>
      <c r="K29" s="9" t="n">
        <v>0</v>
      </c>
      <c r="L29" s="9" t="n">
        <v>8174502273</v>
      </c>
      <c r="M29" s="9" t="n">
        <v>582233750</v>
      </c>
      <c r="N29" s="9" t="n">
        <v>6002500000</v>
      </c>
      <c r="O29" s="9" t="n">
        <v>7718000000</v>
      </c>
      <c r="P29" s="9" t="n">
        <v>0</v>
      </c>
      <c r="Q29" s="9" t="n">
        <v>27392.5438</v>
      </c>
      <c r="R29" s="9" t="n">
        <v>549.842</v>
      </c>
      <c r="S29" s="9" t="n">
        <v>0</v>
      </c>
      <c r="T29" s="9" t="n">
        <v>51020.3407</v>
      </c>
      <c r="U29" s="9" t="n">
        <v>0</v>
      </c>
      <c r="V29" s="9" t="n">
        <v>26645.5349</v>
      </c>
      <c r="W29" s="9" t="n">
        <v>3299.052</v>
      </c>
      <c r="X29" s="9" t="n">
        <v>39679.9164</v>
      </c>
      <c r="Y29" s="9" t="n">
        <v>0</v>
      </c>
      <c r="Z29" s="9" t="n">
        <v>0</v>
      </c>
      <c r="AA29" s="9" t="n">
        <v>54038.0787</v>
      </c>
      <c r="AB29" s="9" t="n">
        <v>3848.8941</v>
      </c>
      <c r="AC29" s="9" t="n">
        <v>39679.9164</v>
      </c>
      <c r="AD29" s="9" t="n">
        <v>51020.3407</v>
      </c>
      <c r="AE29" s="9" t="n">
        <v>0</v>
      </c>
      <c r="AF29" s="9" t="n">
        <v>67803.50999999999</v>
      </c>
      <c r="AG29" s="9" t="n">
        <v>151273</v>
      </c>
      <c r="AH29" s="9" t="n">
        <v>166352.5</v>
      </c>
      <c r="AI29" s="9" t="n">
        <v>179750000</v>
      </c>
      <c r="AJ29" s="9" t="n">
        <v>98500000</v>
      </c>
      <c r="AK29" s="9" t="n">
        <v>52500000</v>
      </c>
      <c r="AL29" s="9" t="n">
        <v>45644074</v>
      </c>
      <c r="AM29" s="9" t="n">
        <v>25900000</v>
      </c>
      <c r="AN29" s="9" t="n">
        <v>61610000</v>
      </c>
      <c r="AO29" s="9" t="n">
        <v>27500000</v>
      </c>
      <c r="AP29" s="9" t="n">
        <v>17764025</v>
      </c>
      <c r="AQ29" s="9" t="n">
        <v>2401</v>
      </c>
      <c r="AR29" s="9" t="n">
        <v>193335</v>
      </c>
      <c r="AS29" s="9" t="n">
        <v>5171</v>
      </c>
    </row>
    <row r="30">
      <c r="A30" s="11" t="n">
        <v>46090</v>
      </c>
      <c r="B30" s="9" t="n">
        <v>4184306100.8</v>
      </c>
      <c r="C30" s="9" t="n">
        <v>83173500</v>
      </c>
      <c r="D30" s="9" t="n">
        <v>0</v>
      </c>
      <c r="E30" s="9" t="n">
        <v>7718000000</v>
      </c>
      <c r="F30" s="9" t="n">
        <v>0</v>
      </c>
      <c r="G30" s="9" t="n">
        <v>4025900000</v>
      </c>
      <c r="H30" s="9" t="n">
        <v>499041000</v>
      </c>
      <c r="I30" s="9" t="n">
        <v>6002500000</v>
      </c>
      <c r="J30" s="9" t="n">
        <v>0</v>
      </c>
      <c r="K30" s="9" t="n">
        <v>0</v>
      </c>
      <c r="L30" s="9" t="n">
        <v>8210206100.8</v>
      </c>
      <c r="M30" s="9" t="n">
        <v>582214500</v>
      </c>
      <c r="N30" s="9" t="n">
        <v>6002500000</v>
      </c>
      <c r="O30" s="9" t="n">
        <v>7718000000</v>
      </c>
      <c r="P30" s="9" t="n">
        <v>0</v>
      </c>
      <c r="Q30" s="9" t="n">
        <v>27591.8635</v>
      </c>
      <c r="R30" s="9" t="n">
        <v>548.457</v>
      </c>
      <c r="S30" s="9" t="n">
        <v>0</v>
      </c>
      <c r="T30" s="9" t="n">
        <v>50893.5048</v>
      </c>
      <c r="U30" s="9" t="n">
        <v>0</v>
      </c>
      <c r="V30" s="9" t="n">
        <v>26547.3129</v>
      </c>
      <c r="W30" s="9" t="n">
        <v>3290.7418</v>
      </c>
      <c r="X30" s="9" t="n">
        <v>39581.2727</v>
      </c>
      <c r="Y30" s="9" t="n">
        <v>0</v>
      </c>
      <c r="Z30" s="9" t="n">
        <v>0</v>
      </c>
      <c r="AA30" s="9" t="n">
        <v>54139.1764</v>
      </c>
      <c r="AB30" s="9" t="n">
        <v>3839.1988</v>
      </c>
      <c r="AC30" s="9" t="n">
        <v>39581.2727</v>
      </c>
      <c r="AD30" s="9" t="n">
        <v>50893.5048</v>
      </c>
      <c r="AE30" s="9" t="n">
        <v>0</v>
      </c>
      <c r="AF30" s="9" t="n">
        <v>68151.90399999999</v>
      </c>
      <c r="AG30" s="9" t="n">
        <v>151650</v>
      </c>
      <c r="AH30" s="9" t="n">
        <v>166347</v>
      </c>
      <c r="AI30" s="9" t="n">
        <v>179700000</v>
      </c>
      <c r="AJ30" s="9" t="n">
        <v>95900000</v>
      </c>
      <c r="AK30" s="9" t="n">
        <v>52100000</v>
      </c>
      <c r="AL30" s="9" t="n">
        <v>45296309.4</v>
      </c>
      <c r="AM30" s="9" t="n">
        <v>25900000</v>
      </c>
      <c r="AN30" s="9" t="n">
        <v>61610000</v>
      </c>
      <c r="AO30" s="9" t="n">
        <v>27200000</v>
      </c>
      <c r="AP30" s="9" t="n">
        <v>18040990.8</v>
      </c>
      <c r="AQ30" s="9" t="n">
        <v>2401</v>
      </c>
      <c r="AR30" s="9" t="n">
        <v>192934</v>
      </c>
      <c r="AS30" s="9" t="n">
        <v>5114</v>
      </c>
    </row>
    <row r="31">
      <c r="A31" s="11" t="n">
        <v>46091</v>
      </c>
      <c r="B31" s="9" t="n">
        <v>4136343552.25</v>
      </c>
      <c r="C31" s="9" t="n">
        <v>83176250</v>
      </c>
      <c r="D31" s="9" t="n">
        <v>0</v>
      </c>
      <c r="E31" s="9" t="n">
        <v>7718000000</v>
      </c>
      <c r="F31" s="9" t="n">
        <v>0</v>
      </c>
      <c r="G31" s="9" t="n">
        <v>4023875000</v>
      </c>
      <c r="H31" s="9" t="n">
        <v>499057500</v>
      </c>
      <c r="I31" s="9" t="n">
        <v>6002500000</v>
      </c>
      <c r="J31" s="9" t="n">
        <v>0</v>
      </c>
      <c r="K31" s="9" t="n">
        <v>0</v>
      </c>
      <c r="L31" s="9" t="n">
        <v>8160218552.25</v>
      </c>
      <c r="M31" s="9" t="n">
        <v>582233750</v>
      </c>
      <c r="N31" s="9" t="n">
        <v>6002500000</v>
      </c>
      <c r="O31" s="9" t="n">
        <v>7718000000</v>
      </c>
      <c r="P31" s="9" t="n">
        <v>0</v>
      </c>
      <c r="Q31" s="9" t="n">
        <v>28013.9486</v>
      </c>
      <c r="R31" s="9" t="n">
        <v>563.3225</v>
      </c>
      <c r="S31" s="9" t="n">
        <v>0</v>
      </c>
      <c r="T31" s="9" t="n">
        <v>52271.2034</v>
      </c>
      <c r="U31" s="9" t="n">
        <v>0</v>
      </c>
      <c r="V31" s="9" t="n">
        <v>27252.24</v>
      </c>
      <c r="W31" s="9" t="n">
        <v>3379.9347</v>
      </c>
      <c r="X31" s="9" t="n">
        <v>40652.7466</v>
      </c>
      <c r="Y31" s="9" t="n">
        <v>0</v>
      </c>
      <c r="Z31" s="9" t="n">
        <v>0</v>
      </c>
      <c r="AA31" s="9" t="n">
        <v>55266.1886</v>
      </c>
      <c r="AB31" s="9" t="n">
        <v>3943.2572</v>
      </c>
      <c r="AC31" s="9" t="n">
        <v>40652.7466</v>
      </c>
      <c r="AD31" s="9" t="n">
        <v>52271.2034</v>
      </c>
      <c r="AE31" s="9" t="n">
        <v>0</v>
      </c>
      <c r="AF31" s="9" t="n">
        <v>70201.5</v>
      </c>
      <c r="AG31" s="9" t="n">
        <v>147653</v>
      </c>
      <c r="AH31" s="9" t="n">
        <v>166352.5</v>
      </c>
      <c r="AI31" s="9" t="n">
        <v>179750000</v>
      </c>
      <c r="AJ31" s="9" t="n">
        <v>93875000</v>
      </c>
      <c r="AK31" s="9" t="n">
        <v>51750000</v>
      </c>
      <c r="AL31" s="9" t="n">
        <v>44992015.5</v>
      </c>
      <c r="AM31" s="9" t="n">
        <v>25900000</v>
      </c>
      <c r="AN31" s="9" t="n">
        <v>61610000</v>
      </c>
      <c r="AO31" s="9" t="n">
        <v>27000000</v>
      </c>
      <c r="AP31" s="9" t="n">
        <v>17775512.25</v>
      </c>
      <c r="AQ31" s="9" t="n">
        <v>2401</v>
      </c>
      <c r="AR31" s="9" t="n">
        <v>193647.5</v>
      </c>
      <c r="AS31" s="9" t="n">
        <v>5170.25</v>
      </c>
    </row>
    <row r="32">
      <c r="A32" s="11" t="n">
        <v>46092</v>
      </c>
      <c r="B32" s="9" t="n">
        <v>4111180006.3333</v>
      </c>
      <c r="C32" s="9" t="n">
        <v>83182500</v>
      </c>
      <c r="D32" s="9" t="n">
        <v>0</v>
      </c>
      <c r="E32" s="9" t="n">
        <v>7718000000</v>
      </c>
      <c r="F32" s="9" t="n">
        <v>0</v>
      </c>
      <c r="G32" s="9" t="n">
        <v>4049500000</v>
      </c>
      <c r="H32" s="9" t="n">
        <v>499095000</v>
      </c>
      <c r="I32" s="9" t="n">
        <v>6002500000</v>
      </c>
      <c r="J32" s="9" t="n">
        <v>0</v>
      </c>
      <c r="K32" s="9" t="n">
        <v>0</v>
      </c>
      <c r="L32" s="9" t="n">
        <v>8160680006.3333</v>
      </c>
      <c r="M32" s="9" t="n">
        <v>582277500</v>
      </c>
      <c r="N32" s="9" t="n">
        <v>6002500000</v>
      </c>
      <c r="O32" s="9" t="n">
        <v>7718000000</v>
      </c>
      <c r="P32" s="9" t="n">
        <v>0</v>
      </c>
      <c r="Q32" s="9" t="n">
        <v>28340.652</v>
      </c>
      <c r="R32" s="9" t="n">
        <v>573.4233</v>
      </c>
      <c r="S32" s="9" t="n">
        <v>0</v>
      </c>
      <c r="T32" s="9" t="n">
        <v>53204.4698</v>
      </c>
      <c r="U32" s="9" t="n">
        <v>0</v>
      </c>
      <c r="V32" s="9" t="n">
        <v>27915.4574</v>
      </c>
      <c r="W32" s="9" t="n">
        <v>3440.5396</v>
      </c>
      <c r="X32" s="9" t="n">
        <v>41378.5734</v>
      </c>
      <c r="Y32" s="9" t="n">
        <v>0</v>
      </c>
      <c r="Z32" s="9" t="n">
        <v>0</v>
      </c>
      <c r="AA32" s="9" t="n">
        <v>56256.1095</v>
      </c>
      <c r="AB32" s="9" t="n">
        <v>4013.9629</v>
      </c>
      <c r="AC32" s="9" t="n">
        <v>41378.5734</v>
      </c>
      <c r="AD32" s="9" t="n">
        <v>53204.4698</v>
      </c>
      <c r="AE32" s="9" t="n">
        <v>0</v>
      </c>
      <c r="AF32" s="9" t="n">
        <v>69692.73669999999</v>
      </c>
      <c r="AG32" s="9" t="n">
        <v>145063</v>
      </c>
      <c r="AH32" s="9" t="n">
        <v>166365</v>
      </c>
      <c r="AI32" s="9" t="n">
        <v>180833333.3333</v>
      </c>
      <c r="AJ32" s="9" t="n">
        <v>94500000</v>
      </c>
      <c r="AK32" s="9" t="n">
        <v>52500000</v>
      </c>
      <c r="AL32" s="9" t="n">
        <v>45644074</v>
      </c>
      <c r="AM32" s="9" t="n">
        <v>25900000</v>
      </c>
      <c r="AN32" s="9" t="n">
        <v>61610000</v>
      </c>
      <c r="AO32" s="9" t="n">
        <v>27500000</v>
      </c>
      <c r="AP32" s="9" t="n">
        <v>17560051.6667</v>
      </c>
      <c r="AQ32" s="9" t="n">
        <v>2401</v>
      </c>
      <c r="AR32" s="9" t="n">
        <v>193036.6667</v>
      </c>
      <c r="AS32" s="9" t="n">
        <v>5188.6667</v>
      </c>
    </row>
    <row r="33">
      <c r="A33" s="11" t="n">
        <v>46093</v>
      </c>
      <c r="B33" s="9" t="n">
        <v>4173067346.3333</v>
      </c>
      <c r="C33" s="9" t="n">
        <v>83172500</v>
      </c>
      <c r="D33" s="9" t="n">
        <v>0</v>
      </c>
      <c r="E33" s="9" t="n">
        <v>7718000000</v>
      </c>
      <c r="F33" s="9" t="n">
        <v>0</v>
      </c>
      <c r="G33" s="9" t="n">
        <v>4041500000</v>
      </c>
      <c r="H33" s="9" t="n">
        <v>499035000</v>
      </c>
      <c r="I33" s="9" t="n">
        <v>6002500000</v>
      </c>
      <c r="J33" s="9" t="n">
        <v>0</v>
      </c>
      <c r="K33" s="9" t="n">
        <v>0</v>
      </c>
      <c r="L33" s="9" t="n">
        <v>8214567346.3333</v>
      </c>
      <c r="M33" s="9" t="n">
        <v>582207500</v>
      </c>
      <c r="N33" s="9" t="n">
        <v>6002500000</v>
      </c>
      <c r="O33" s="9" t="n">
        <v>7718000000</v>
      </c>
      <c r="P33" s="9" t="n">
        <v>0</v>
      </c>
      <c r="Q33" s="9" t="n">
        <v>29156.8104</v>
      </c>
      <c r="R33" s="9" t="n">
        <v>581.1211</v>
      </c>
      <c r="S33" s="9" t="n">
        <v>0</v>
      </c>
      <c r="T33" s="9" t="n">
        <v>53925.1911</v>
      </c>
      <c r="U33" s="9" t="n">
        <v>0</v>
      </c>
      <c r="V33" s="9" t="n">
        <v>28237.7847</v>
      </c>
      <c r="W33" s="9" t="n">
        <v>3486.7268</v>
      </c>
      <c r="X33" s="9" t="n">
        <v>41939.0982</v>
      </c>
      <c r="Y33" s="9" t="n">
        <v>0</v>
      </c>
      <c r="Z33" s="9" t="n">
        <v>0</v>
      </c>
      <c r="AA33" s="9" t="n">
        <v>57394.5951</v>
      </c>
      <c r="AB33" s="9" t="n">
        <v>4067.848</v>
      </c>
      <c r="AC33" s="9" t="n">
        <v>41939.0982</v>
      </c>
      <c r="AD33" s="9" t="n">
        <v>53925.1911</v>
      </c>
      <c r="AE33" s="9" t="n">
        <v>0</v>
      </c>
      <c r="AF33" s="9" t="n">
        <v>70416.4011</v>
      </c>
      <c r="AG33" s="9" t="n">
        <v>143124.8889</v>
      </c>
      <c r="AH33" s="9" t="n">
        <v>166345</v>
      </c>
      <c r="AI33" s="9" t="n">
        <v>180388888.8889</v>
      </c>
      <c r="AJ33" s="9" t="n">
        <v>94500000</v>
      </c>
      <c r="AK33" s="9" t="n">
        <v>52944444.4444</v>
      </c>
      <c r="AL33" s="9" t="n">
        <v>46030478.4444</v>
      </c>
      <c r="AM33" s="9" t="n">
        <v>29544444.4444</v>
      </c>
      <c r="AN33" s="9" t="n">
        <v>69067777.77779999</v>
      </c>
      <c r="AO33" s="9" t="n">
        <v>27500000</v>
      </c>
      <c r="AP33" s="9" t="n">
        <v>17597244.1111</v>
      </c>
      <c r="AQ33" s="9" t="n">
        <v>2401</v>
      </c>
      <c r="AR33" s="9" t="n">
        <v>192540</v>
      </c>
      <c r="AS33" s="9" t="n">
        <v>5165.1111</v>
      </c>
    </row>
    <row r="34">
      <c r="A34" s="11" t="n">
        <v>46094</v>
      </c>
      <c r="B34" s="9" t="n">
        <v>4183977407</v>
      </c>
      <c r="C34" s="9" t="n">
        <v>83180000</v>
      </c>
      <c r="D34" s="9" t="n">
        <v>0</v>
      </c>
      <c r="E34" s="9" t="n">
        <v>7718000000</v>
      </c>
      <c r="F34" s="9" t="n">
        <v>0</v>
      </c>
      <c r="G34" s="9" t="n">
        <v>4033500000</v>
      </c>
      <c r="H34" s="9" t="n">
        <v>499080000</v>
      </c>
      <c r="I34" s="9" t="n">
        <v>6002500000</v>
      </c>
      <c r="J34" s="9" t="n">
        <v>0</v>
      </c>
      <c r="K34" s="9" t="n">
        <v>0</v>
      </c>
      <c r="L34" s="9" t="n">
        <v>8217477407</v>
      </c>
      <c r="M34" s="9" t="n">
        <v>582260000</v>
      </c>
      <c r="N34" s="9" t="n">
        <v>6002500000</v>
      </c>
      <c r="O34" s="9" t="n">
        <v>7718000000</v>
      </c>
      <c r="P34" s="9" t="n">
        <v>0</v>
      </c>
      <c r="Q34" s="9" t="n">
        <v>29104.0266</v>
      </c>
      <c r="R34" s="9" t="n">
        <v>578.605</v>
      </c>
      <c r="S34" s="9" t="n">
        <v>0</v>
      </c>
      <c r="T34" s="9" t="n">
        <v>53686.8644</v>
      </c>
      <c r="U34" s="9" t="n">
        <v>0</v>
      </c>
      <c r="V34" s="9" t="n">
        <v>28057.2645</v>
      </c>
      <c r="W34" s="9" t="n">
        <v>3471.63</v>
      </c>
      <c r="X34" s="9" t="n">
        <v>41753.745</v>
      </c>
      <c r="Y34" s="9" t="n">
        <v>0</v>
      </c>
      <c r="Z34" s="9" t="n">
        <v>0</v>
      </c>
      <c r="AA34" s="9" t="n">
        <v>57161.2911</v>
      </c>
      <c r="AB34" s="9" t="n">
        <v>4050.235</v>
      </c>
      <c r="AC34" s="9" t="n">
        <v>41753.745</v>
      </c>
      <c r="AD34" s="9" t="n">
        <v>53686.8644</v>
      </c>
      <c r="AE34" s="9" t="n">
        <v>0</v>
      </c>
      <c r="AF34" s="9" t="n">
        <v>70336.872</v>
      </c>
      <c r="AG34" s="9" t="n">
        <v>143759.8</v>
      </c>
      <c r="AH34" s="9" t="n">
        <v>166360</v>
      </c>
      <c r="AI34" s="9" t="n">
        <v>180000000</v>
      </c>
      <c r="AJ34" s="9" t="n">
        <v>94500000</v>
      </c>
      <c r="AK34" s="9" t="n">
        <v>53000000</v>
      </c>
      <c r="AL34" s="9" t="n">
        <v>46078779</v>
      </c>
      <c r="AM34" s="9" t="n">
        <v>30000000</v>
      </c>
      <c r="AN34" s="9" t="n">
        <v>70000000</v>
      </c>
      <c r="AO34" s="9" t="n">
        <v>27500000</v>
      </c>
      <c r="AP34" s="9" t="n">
        <v>17623150.6</v>
      </c>
      <c r="AQ34" s="9" t="n">
        <v>2401</v>
      </c>
      <c r="AR34" s="9" t="n">
        <v>191950</v>
      </c>
      <c r="AS34" s="9" t="n">
        <v>5087.8</v>
      </c>
    </row>
    <row r="35">
      <c r="A35" s="11" t="n">
        <v>46095</v>
      </c>
      <c r="B35" s="9" t="n">
        <v>4158975682.75</v>
      </c>
      <c r="C35" s="9" t="n">
        <v>83180000</v>
      </c>
      <c r="D35" s="9" t="n">
        <v>0</v>
      </c>
      <c r="E35" s="9" t="n">
        <v>7718000000</v>
      </c>
      <c r="F35" s="9" t="n">
        <v>0</v>
      </c>
      <c r="G35" s="9" t="n">
        <v>4006750000</v>
      </c>
      <c r="H35" s="9" t="n">
        <v>499080000</v>
      </c>
      <c r="I35" s="9" t="n">
        <v>6002500000</v>
      </c>
      <c r="J35" s="9" t="n">
        <v>0</v>
      </c>
      <c r="K35" s="9" t="n">
        <v>0</v>
      </c>
      <c r="L35" s="9" t="n">
        <v>8165725682.75</v>
      </c>
      <c r="M35" s="9" t="n">
        <v>582260000</v>
      </c>
      <c r="N35" s="9" t="n">
        <v>6002500000</v>
      </c>
      <c r="O35" s="9" t="n">
        <v>7718000000</v>
      </c>
      <c r="P35" s="9" t="n">
        <v>0</v>
      </c>
      <c r="Q35" s="9" t="n">
        <v>28789.0976</v>
      </c>
      <c r="R35" s="9" t="n">
        <v>575.748</v>
      </c>
      <c r="S35" s="9" t="n">
        <v>0</v>
      </c>
      <c r="T35" s="9" t="n">
        <v>53421.7748</v>
      </c>
      <c r="U35" s="9" t="n">
        <v>0</v>
      </c>
      <c r="V35" s="9" t="n">
        <v>27735.8827</v>
      </c>
      <c r="W35" s="9" t="n">
        <v>3454.4881</v>
      </c>
      <c r="X35" s="9" t="n">
        <v>41547.5775</v>
      </c>
      <c r="Y35" s="9" t="n">
        <v>0</v>
      </c>
      <c r="Z35" s="9" t="n">
        <v>0</v>
      </c>
      <c r="AA35" s="9" t="n">
        <v>56524.9803</v>
      </c>
      <c r="AB35" s="9" t="n">
        <v>4030.2361</v>
      </c>
      <c r="AC35" s="9" t="n">
        <v>41547.5775</v>
      </c>
      <c r="AD35" s="9" t="n">
        <v>53421.7748</v>
      </c>
      <c r="AE35" s="9" t="n">
        <v>0</v>
      </c>
      <c r="AF35" s="9" t="n">
        <v>71033.94500000001</v>
      </c>
      <c r="AG35" s="9" t="n">
        <v>144480.5</v>
      </c>
      <c r="AH35" s="9" t="n">
        <v>166360</v>
      </c>
      <c r="AI35" s="9" t="n">
        <v>178875000</v>
      </c>
      <c r="AJ35" s="9" t="n">
        <v>94000000</v>
      </c>
      <c r="AK35" s="9" t="n">
        <v>52125000</v>
      </c>
      <c r="AL35" s="9" t="n">
        <v>45318044.5</v>
      </c>
      <c r="AM35" s="9" t="n">
        <v>30000000</v>
      </c>
      <c r="AN35" s="9" t="n">
        <v>70000000</v>
      </c>
      <c r="AO35" s="9" t="n">
        <v>27375000</v>
      </c>
      <c r="AP35" s="9" t="n">
        <v>17533118.75</v>
      </c>
      <c r="AQ35" s="9" t="n">
        <v>2401</v>
      </c>
      <c r="AR35" s="9" t="n">
        <v>191950</v>
      </c>
      <c r="AS35" s="9" t="n">
        <v>5015</v>
      </c>
    </row>
    <row r="36">
      <c r="A36" s="11" t="n">
        <v>46096</v>
      </c>
      <c r="B36" s="9" t="n">
        <v>4096159522</v>
      </c>
      <c r="C36" s="9" t="n">
        <v>83180000</v>
      </c>
      <c r="D36" s="9" t="n">
        <v>0</v>
      </c>
      <c r="E36" s="9" t="n">
        <v>7718000000</v>
      </c>
      <c r="F36" s="9" t="n">
        <v>0</v>
      </c>
      <c r="G36" s="9" t="n">
        <v>3926500000</v>
      </c>
      <c r="H36" s="9" t="n">
        <v>499080000</v>
      </c>
      <c r="I36" s="9" t="n">
        <v>6002500000</v>
      </c>
      <c r="J36" s="9" t="n">
        <v>0</v>
      </c>
      <c r="K36" s="9" t="n">
        <v>0</v>
      </c>
      <c r="L36" s="9" t="n">
        <v>8022659522</v>
      </c>
      <c r="M36" s="9" t="n">
        <v>582260000</v>
      </c>
      <c r="N36" s="9" t="n">
        <v>6002500000</v>
      </c>
      <c r="O36" s="9" t="n">
        <v>7718000000</v>
      </c>
      <c r="P36" s="9" t="n">
        <v>0</v>
      </c>
      <c r="Q36" s="9" t="n">
        <v>27957.6524</v>
      </c>
      <c r="R36" s="9" t="n">
        <v>567.7311999999999</v>
      </c>
      <c r="S36" s="9" t="n">
        <v>0</v>
      </c>
      <c r="T36" s="9" t="n">
        <v>52677.9194</v>
      </c>
      <c r="U36" s="9" t="n">
        <v>0</v>
      </c>
      <c r="V36" s="9" t="n">
        <v>26799.6697</v>
      </c>
      <c r="W36" s="9" t="n">
        <v>3406.3871</v>
      </c>
      <c r="X36" s="9" t="n">
        <v>40969.0608</v>
      </c>
      <c r="Y36" s="9" t="n">
        <v>0</v>
      </c>
      <c r="Z36" s="9" t="n">
        <v>0</v>
      </c>
      <c r="AA36" s="9" t="n">
        <v>54757.322</v>
      </c>
      <c r="AB36" s="9" t="n">
        <v>3974.1183</v>
      </c>
      <c r="AC36" s="9" t="n">
        <v>40969.0608</v>
      </c>
      <c r="AD36" s="9" t="n">
        <v>52677.9194</v>
      </c>
      <c r="AE36" s="9" t="n">
        <v>0</v>
      </c>
      <c r="AF36" s="9" t="n">
        <v>70071</v>
      </c>
      <c r="AG36" s="9" t="n">
        <v>146513</v>
      </c>
      <c r="AH36" s="9" t="n">
        <v>166360</v>
      </c>
      <c r="AI36" s="9" t="n">
        <v>175500000</v>
      </c>
      <c r="AJ36" s="9" t="n">
        <v>92500000</v>
      </c>
      <c r="AK36" s="9" t="n">
        <v>49500000</v>
      </c>
      <c r="AL36" s="9" t="n">
        <v>43035841</v>
      </c>
      <c r="AM36" s="9" t="n">
        <v>30000000</v>
      </c>
      <c r="AN36" s="9" t="n">
        <v>70000000</v>
      </c>
      <c r="AO36" s="9" t="n">
        <v>27000000</v>
      </c>
      <c r="AP36" s="9" t="n">
        <v>17336896</v>
      </c>
      <c r="AQ36" s="9" t="n">
        <v>2401</v>
      </c>
      <c r="AR36" s="9" t="n">
        <v>191950</v>
      </c>
      <c r="AS36" s="9" t="n">
        <v>5015</v>
      </c>
    </row>
    <row r="37">
      <c r="A37" s="11" t="n">
        <v>46097</v>
      </c>
      <c r="B37" s="9" t="n">
        <v>4043290728</v>
      </c>
      <c r="C37" s="9" t="n">
        <v>83180000</v>
      </c>
      <c r="D37" s="9" t="n">
        <v>0</v>
      </c>
      <c r="E37" s="9" t="n">
        <v>7718000000</v>
      </c>
      <c r="F37" s="9" t="n">
        <v>0</v>
      </c>
      <c r="G37" s="9" t="n">
        <v>3936000000</v>
      </c>
      <c r="H37" s="9" t="n">
        <v>499080000</v>
      </c>
      <c r="I37" s="9" t="n">
        <v>6002500000</v>
      </c>
      <c r="J37" s="9" t="n">
        <v>0</v>
      </c>
      <c r="K37" s="9" t="n">
        <v>0</v>
      </c>
      <c r="L37" s="9" t="n">
        <v>7979290728</v>
      </c>
      <c r="M37" s="9" t="n">
        <v>582260000</v>
      </c>
      <c r="N37" s="9" t="n">
        <v>6002500000</v>
      </c>
      <c r="O37" s="9" t="n">
        <v>7718000000</v>
      </c>
      <c r="P37" s="9" t="n">
        <v>0</v>
      </c>
      <c r="Q37" s="9" t="n">
        <v>27941.3208</v>
      </c>
      <c r="R37" s="9" t="n">
        <v>574.8187</v>
      </c>
      <c r="S37" s="9" t="n">
        <v>0</v>
      </c>
      <c r="T37" s="9" t="n">
        <v>53335.5448</v>
      </c>
      <c r="U37" s="9" t="n">
        <v>0</v>
      </c>
      <c r="V37" s="9" t="n">
        <v>27199.8839</v>
      </c>
      <c r="W37" s="9" t="n">
        <v>3448.9121</v>
      </c>
      <c r="X37" s="9" t="n">
        <v>41480.5141</v>
      </c>
      <c r="Y37" s="9" t="n">
        <v>0</v>
      </c>
      <c r="Z37" s="9" t="n">
        <v>0</v>
      </c>
      <c r="AA37" s="9" t="n">
        <v>55141.2047</v>
      </c>
      <c r="AB37" s="9" t="n">
        <v>4023.7308</v>
      </c>
      <c r="AC37" s="9" t="n">
        <v>41480.5141</v>
      </c>
      <c r="AD37" s="9" t="n">
        <v>53335.5448</v>
      </c>
      <c r="AE37" s="9" t="n">
        <v>0</v>
      </c>
      <c r="AF37" s="9" t="n">
        <v>73019.41499999999</v>
      </c>
      <c r="AG37" s="9" t="n">
        <v>144706.5</v>
      </c>
      <c r="AH37" s="9" t="n">
        <v>166360</v>
      </c>
      <c r="AI37" s="9" t="n">
        <v>175500000</v>
      </c>
      <c r="AJ37" s="9" t="n">
        <v>93000000</v>
      </c>
      <c r="AK37" s="9" t="n">
        <v>52500000</v>
      </c>
      <c r="AL37" s="9" t="n">
        <v>45644074</v>
      </c>
      <c r="AM37" s="9" t="n">
        <v>30000000</v>
      </c>
      <c r="AN37" s="9" t="n">
        <v>70000000</v>
      </c>
      <c r="AO37" s="9" t="n">
        <v>26000000</v>
      </c>
      <c r="AP37" s="9" t="n">
        <v>16863652</v>
      </c>
      <c r="AQ37" s="9" t="n">
        <v>2401</v>
      </c>
      <c r="AR37" s="9" t="n">
        <v>191950</v>
      </c>
      <c r="AS37" s="9" t="n">
        <v>4989</v>
      </c>
    </row>
    <row r="38">
      <c r="A38" s="11" t="n">
        <v>46098</v>
      </c>
      <c r="B38" s="9" t="n">
        <v>4043290728</v>
      </c>
      <c r="C38" s="9" t="n">
        <v>83180000</v>
      </c>
      <c r="D38" s="9" t="n">
        <v>0</v>
      </c>
      <c r="E38" s="9" t="n">
        <v>7718000000</v>
      </c>
      <c r="F38" s="9" t="n">
        <v>0</v>
      </c>
      <c r="G38" s="9" t="n">
        <v>3936000000</v>
      </c>
      <c r="H38" s="9" t="n">
        <v>499080000</v>
      </c>
      <c r="I38" s="9" t="n">
        <v>6002500000</v>
      </c>
      <c r="J38" s="9" t="n">
        <v>0</v>
      </c>
      <c r="K38" s="9" t="n">
        <v>0</v>
      </c>
      <c r="L38" s="9" t="n">
        <v>7979290728</v>
      </c>
      <c r="M38" s="9" t="n">
        <v>582260000</v>
      </c>
      <c r="N38" s="9" t="n">
        <v>6002500000</v>
      </c>
      <c r="O38" s="9" t="n">
        <v>7718000000</v>
      </c>
      <c r="P38" s="9" t="n">
        <v>0</v>
      </c>
      <c r="Q38" s="9" t="n">
        <v>27769.4725</v>
      </c>
      <c r="R38" s="9" t="n">
        <v>571.2834</v>
      </c>
      <c r="S38" s="9" t="n">
        <v>0</v>
      </c>
      <c r="T38" s="9" t="n">
        <v>53007.5136</v>
      </c>
      <c r="U38" s="9" t="n">
        <v>0</v>
      </c>
      <c r="V38" s="9" t="n">
        <v>27032.5957</v>
      </c>
      <c r="W38" s="9" t="n">
        <v>3427.7002</v>
      </c>
      <c r="X38" s="9" t="n">
        <v>41225.3953</v>
      </c>
      <c r="Y38" s="9" t="n">
        <v>0</v>
      </c>
      <c r="Z38" s="9" t="n">
        <v>0</v>
      </c>
      <c r="AA38" s="9" t="n">
        <v>54802.0682</v>
      </c>
      <c r="AB38" s="9" t="n">
        <v>3998.9835</v>
      </c>
      <c r="AC38" s="9" t="n">
        <v>41225.3953</v>
      </c>
      <c r="AD38" s="9" t="n">
        <v>53007.5136</v>
      </c>
      <c r="AE38" s="9" t="n">
        <v>0</v>
      </c>
      <c r="AF38" s="9" t="n">
        <v>74350</v>
      </c>
      <c r="AG38" s="9" t="n">
        <v>145602</v>
      </c>
      <c r="AH38" s="9" t="n">
        <v>166360</v>
      </c>
      <c r="AI38" s="9" t="n">
        <v>175500000</v>
      </c>
      <c r="AJ38" s="9" t="n">
        <v>93000000</v>
      </c>
      <c r="AK38" s="9" t="n">
        <v>52500000</v>
      </c>
      <c r="AL38" s="9" t="n">
        <v>45644074</v>
      </c>
      <c r="AM38" s="9" t="n">
        <v>30000000</v>
      </c>
      <c r="AN38" s="9" t="n">
        <v>70000000</v>
      </c>
      <c r="AO38" s="9" t="n">
        <v>26000000</v>
      </c>
      <c r="AP38" s="9" t="n">
        <v>16863652</v>
      </c>
      <c r="AQ38" s="9" t="n">
        <v>2401</v>
      </c>
      <c r="AR38" s="9" t="n">
        <v>191950</v>
      </c>
      <c r="AS38" s="9" t="n">
        <v>5023</v>
      </c>
    </row>
    <row r="39">
      <c r="A39" s="11" t="n">
        <v>46101</v>
      </c>
      <c r="B39" s="9" t="n">
        <v>4330905524</v>
      </c>
      <c r="C39" s="9" t="n">
        <v>83180000</v>
      </c>
      <c r="D39" s="9" t="n">
        <v>0</v>
      </c>
      <c r="E39" s="9" t="n">
        <v>7718000000</v>
      </c>
      <c r="F39" s="9" t="n">
        <v>0</v>
      </c>
      <c r="G39" s="9" t="n">
        <v>4162000000</v>
      </c>
      <c r="H39" s="9" t="n">
        <v>499080000</v>
      </c>
      <c r="I39" s="9" t="n">
        <v>6002500000</v>
      </c>
      <c r="J39" s="9" t="n">
        <v>0</v>
      </c>
      <c r="K39" s="9" t="n">
        <v>0</v>
      </c>
      <c r="L39" s="9" t="n">
        <v>8492905524</v>
      </c>
      <c r="M39" s="9" t="n">
        <v>582260000</v>
      </c>
      <c r="N39" s="9" t="n">
        <v>6002500000</v>
      </c>
      <c r="O39" s="9" t="n">
        <v>7718000000</v>
      </c>
      <c r="P39" s="9" t="n">
        <v>0</v>
      </c>
      <c r="Q39" s="9" t="n">
        <v>27683.0982</v>
      </c>
      <c r="R39" s="9" t="n">
        <v>531.6847</v>
      </c>
      <c r="S39" s="9" t="n">
        <v>0</v>
      </c>
      <c r="T39" s="9" t="n">
        <v>49333.2842</v>
      </c>
      <c r="U39" s="9" t="n">
        <v>0</v>
      </c>
      <c r="V39" s="9" t="n">
        <v>26603.4114</v>
      </c>
      <c r="W39" s="9" t="n">
        <v>3190.1083</v>
      </c>
      <c r="X39" s="9" t="n">
        <v>38367.8464</v>
      </c>
      <c r="Y39" s="9" t="n">
        <v>0</v>
      </c>
      <c r="Z39" s="9" t="n">
        <v>0</v>
      </c>
      <c r="AA39" s="9" t="n">
        <v>54286.5096</v>
      </c>
      <c r="AB39" s="9" t="n">
        <v>3721.793</v>
      </c>
      <c r="AC39" s="9" t="n">
        <v>38367.8464</v>
      </c>
      <c r="AD39" s="9" t="n">
        <v>49333.2842</v>
      </c>
      <c r="AE39" s="9" t="n">
        <v>0</v>
      </c>
      <c r="AF39" s="9" t="n">
        <v>70362.61</v>
      </c>
      <c r="AG39" s="9" t="n">
        <v>156448.6667</v>
      </c>
      <c r="AH39" s="9" t="n">
        <v>166360</v>
      </c>
      <c r="AI39" s="9" t="n">
        <v>185500000</v>
      </c>
      <c r="AJ39" s="9" t="n">
        <v>98500000</v>
      </c>
      <c r="AK39" s="9" t="n">
        <v>56000000</v>
      </c>
      <c r="AL39" s="9" t="n">
        <v>48687012</v>
      </c>
      <c r="AM39" s="9" t="n">
        <v>30000000</v>
      </c>
      <c r="AN39" s="9" t="n">
        <v>70000000</v>
      </c>
      <c r="AO39" s="9" t="n">
        <v>28000000</v>
      </c>
      <c r="AP39" s="9" t="n">
        <v>18291100</v>
      </c>
      <c r="AQ39" s="9" t="n">
        <v>2401</v>
      </c>
      <c r="AR39" s="9" t="n">
        <v>191950</v>
      </c>
      <c r="AS39" s="9" t="n">
        <v>4598</v>
      </c>
    </row>
    <row r="40">
      <c r="A40" s="11" t="n">
        <v>46102</v>
      </c>
      <c r="B40" s="9" t="n">
        <v>4310607505.3333</v>
      </c>
      <c r="C40" s="9" t="n">
        <v>83180000</v>
      </c>
      <c r="D40" s="9" t="n">
        <v>0</v>
      </c>
      <c r="E40" s="9" t="n">
        <v>7718000000</v>
      </c>
      <c r="F40" s="9" t="n">
        <v>0</v>
      </c>
      <c r="G40" s="9" t="n">
        <v>4162005000</v>
      </c>
      <c r="H40" s="9" t="n">
        <v>499080000</v>
      </c>
      <c r="I40" s="9" t="n">
        <v>6002500000</v>
      </c>
      <c r="J40" s="9" t="n">
        <v>0</v>
      </c>
      <c r="K40" s="9" t="n">
        <v>0</v>
      </c>
      <c r="L40" s="9" t="n">
        <v>8472612505.3333</v>
      </c>
      <c r="M40" s="9" t="n">
        <v>582260000</v>
      </c>
      <c r="N40" s="9" t="n">
        <v>6002500000</v>
      </c>
      <c r="O40" s="9" t="n">
        <v>7718000000</v>
      </c>
      <c r="P40" s="9" t="n">
        <v>0</v>
      </c>
      <c r="Q40" s="9" t="n">
        <v>27545.3207</v>
      </c>
      <c r="R40" s="9" t="n">
        <v>531.5258</v>
      </c>
      <c r="S40" s="9" t="n">
        <v>0</v>
      </c>
      <c r="T40" s="9" t="n">
        <v>49318.5439</v>
      </c>
      <c r="U40" s="9" t="n">
        <v>0</v>
      </c>
      <c r="V40" s="9" t="n">
        <v>26595.4944</v>
      </c>
      <c r="W40" s="9" t="n">
        <v>3189.1551</v>
      </c>
      <c r="X40" s="9" t="n">
        <v>38356.3824</v>
      </c>
      <c r="Y40" s="9" t="n">
        <v>0</v>
      </c>
      <c r="Z40" s="9" t="n">
        <v>0</v>
      </c>
      <c r="AA40" s="9" t="n">
        <v>54140.8151</v>
      </c>
      <c r="AB40" s="9" t="n">
        <v>3720.6809</v>
      </c>
      <c r="AC40" s="9" t="n">
        <v>38356.3824</v>
      </c>
      <c r="AD40" s="9" t="n">
        <v>49318.5439</v>
      </c>
      <c r="AE40" s="9" t="n">
        <v>0</v>
      </c>
      <c r="AF40" s="9" t="n">
        <v>70250.06</v>
      </c>
      <c r="AG40" s="9" t="n">
        <v>156495.6667</v>
      </c>
      <c r="AH40" s="9" t="n">
        <v>166360</v>
      </c>
      <c r="AI40" s="9" t="n">
        <v>185500000</v>
      </c>
      <c r="AJ40" s="9" t="n">
        <v>98500000</v>
      </c>
      <c r="AK40" s="9" t="n">
        <v>56001666.6667</v>
      </c>
      <c r="AL40" s="9" t="n">
        <v>48688461</v>
      </c>
      <c r="AM40" s="9" t="n">
        <v>30000000</v>
      </c>
      <c r="AN40" s="9" t="n">
        <v>70000000</v>
      </c>
      <c r="AO40" s="9" t="n">
        <v>28000000</v>
      </c>
      <c r="AP40" s="9" t="n">
        <v>18167983.3333</v>
      </c>
      <c r="AQ40" s="9" t="n">
        <v>2401</v>
      </c>
      <c r="AR40" s="9" t="n">
        <v>191950</v>
      </c>
      <c r="AS40" s="9" t="n">
        <v>4509</v>
      </c>
    </row>
    <row r="41">
      <c r="A41" s="11" t="n">
        <v>46103</v>
      </c>
      <c r="B41" s="9" t="n">
        <v>4252212774</v>
      </c>
      <c r="C41" s="9" t="n">
        <v>83180000</v>
      </c>
      <c r="D41" s="9" t="n">
        <v>0</v>
      </c>
      <c r="E41" s="9" t="n">
        <v>7718000000</v>
      </c>
      <c r="F41" s="9" t="n">
        <v>0</v>
      </c>
      <c r="G41" s="9" t="n">
        <v>4135750000</v>
      </c>
      <c r="H41" s="9" t="n">
        <v>499080000</v>
      </c>
      <c r="I41" s="9" t="n">
        <v>6002500000</v>
      </c>
      <c r="J41" s="9" t="n">
        <v>0</v>
      </c>
      <c r="K41" s="9" t="n">
        <v>0</v>
      </c>
      <c r="L41" s="9" t="n">
        <v>8387962774</v>
      </c>
      <c r="M41" s="9" t="n">
        <v>582260000</v>
      </c>
      <c r="N41" s="9" t="n">
        <v>6002500000</v>
      </c>
      <c r="O41" s="9" t="n">
        <v>7718000000</v>
      </c>
      <c r="P41" s="9" t="n">
        <v>0</v>
      </c>
      <c r="Q41" s="9" t="n">
        <v>26946.7155</v>
      </c>
      <c r="R41" s="9" t="n">
        <v>527.1308</v>
      </c>
      <c r="S41" s="9" t="n">
        <v>0</v>
      </c>
      <c r="T41" s="9" t="n">
        <v>48910.741</v>
      </c>
      <c r="U41" s="9" t="n">
        <v>0</v>
      </c>
      <c r="V41" s="9" t="n">
        <v>26210.5782</v>
      </c>
      <c r="W41" s="9" t="n">
        <v>3162.7847</v>
      </c>
      <c r="X41" s="9" t="n">
        <v>38039.2229</v>
      </c>
      <c r="Y41" s="9" t="n">
        <v>0</v>
      </c>
      <c r="Z41" s="9" t="n">
        <v>0</v>
      </c>
      <c r="AA41" s="9" t="n">
        <v>53157.2938</v>
      </c>
      <c r="AB41" s="9" t="n">
        <v>3689.9155</v>
      </c>
      <c r="AC41" s="9" t="n">
        <v>38039.2229</v>
      </c>
      <c r="AD41" s="9" t="n">
        <v>48910.741</v>
      </c>
      <c r="AE41" s="9" t="n">
        <v>0</v>
      </c>
      <c r="AF41" s="9" t="n">
        <v>69629.98</v>
      </c>
      <c r="AG41" s="9" t="n">
        <v>157808.5</v>
      </c>
      <c r="AH41" s="9" t="n">
        <v>166360</v>
      </c>
      <c r="AI41" s="9" t="n">
        <v>184250000</v>
      </c>
      <c r="AJ41" s="9" t="n">
        <v>98500000</v>
      </c>
      <c r="AK41" s="9" t="n">
        <v>56000000</v>
      </c>
      <c r="AL41" s="9" t="n">
        <v>48687012</v>
      </c>
      <c r="AM41" s="9" t="n">
        <v>30000000</v>
      </c>
      <c r="AN41" s="9" t="n">
        <v>70000000</v>
      </c>
      <c r="AO41" s="9" t="n">
        <v>28000000</v>
      </c>
      <c r="AP41" s="9" t="n">
        <v>17821750</v>
      </c>
      <c r="AQ41" s="9" t="n">
        <v>2401</v>
      </c>
      <c r="AR41" s="9" t="n">
        <v>191950</v>
      </c>
      <c r="AS41" s="9" t="n">
        <v>4509</v>
      </c>
    </row>
    <row r="42">
      <c r="A42" s="11" t="n">
        <v>46104</v>
      </c>
      <c r="B42" s="9" t="n">
        <v>4184279058</v>
      </c>
      <c r="C42" s="9" t="n">
        <v>83180000</v>
      </c>
      <c r="D42" s="9" t="n">
        <v>0</v>
      </c>
      <c r="E42" s="9" t="n">
        <v>7718000000</v>
      </c>
      <c r="F42" s="9" t="n">
        <v>0</v>
      </c>
      <c r="G42" s="9" t="n">
        <v>4033000000</v>
      </c>
      <c r="H42" s="9" t="n">
        <v>499080000</v>
      </c>
      <c r="I42" s="9" t="n">
        <v>6002500000</v>
      </c>
      <c r="J42" s="9" t="n">
        <v>0</v>
      </c>
      <c r="K42" s="9" t="n">
        <v>0</v>
      </c>
      <c r="L42" s="9" t="n">
        <v>8217279058</v>
      </c>
      <c r="M42" s="9" t="n">
        <v>582260000</v>
      </c>
      <c r="N42" s="9" t="n">
        <v>6002500000</v>
      </c>
      <c r="O42" s="9" t="n">
        <v>7718000000</v>
      </c>
      <c r="P42" s="9" t="n">
        <v>0</v>
      </c>
      <c r="Q42" s="9" t="n">
        <v>26516.848</v>
      </c>
      <c r="R42" s="9" t="n">
        <v>527.133</v>
      </c>
      <c r="S42" s="9" t="n">
        <v>0</v>
      </c>
      <c r="T42" s="9" t="n">
        <v>48910.9425</v>
      </c>
      <c r="U42" s="9" t="n">
        <v>0</v>
      </c>
      <c r="V42" s="9" t="n">
        <v>25558.1538</v>
      </c>
      <c r="W42" s="9" t="n">
        <v>3162.7978</v>
      </c>
      <c r="X42" s="9" t="n">
        <v>38039.3797</v>
      </c>
      <c r="Y42" s="9" t="n">
        <v>0</v>
      </c>
      <c r="Z42" s="9" t="n">
        <v>0</v>
      </c>
      <c r="AA42" s="9" t="n">
        <v>52075.0018</v>
      </c>
      <c r="AB42" s="9" t="n">
        <v>3689.9307</v>
      </c>
      <c r="AC42" s="9" t="n">
        <v>38039.3797</v>
      </c>
      <c r="AD42" s="9" t="n">
        <v>48910.9425</v>
      </c>
      <c r="AE42" s="9" t="n">
        <v>0</v>
      </c>
      <c r="AF42" s="9" t="n">
        <v>70790.39999999999</v>
      </c>
      <c r="AG42" s="9" t="n">
        <v>157797</v>
      </c>
      <c r="AH42" s="9" t="n">
        <v>166360</v>
      </c>
      <c r="AI42" s="9" t="n">
        <v>180000000</v>
      </c>
      <c r="AJ42" s="9" t="n">
        <v>94000000</v>
      </c>
      <c r="AK42" s="9" t="n">
        <v>53000000</v>
      </c>
      <c r="AL42" s="9" t="n">
        <v>46078779</v>
      </c>
      <c r="AM42" s="9" t="n">
        <v>30000000</v>
      </c>
      <c r="AN42" s="9" t="n">
        <v>70000000</v>
      </c>
      <c r="AO42" s="9" t="n">
        <v>27000000</v>
      </c>
      <c r="AP42" s="9" t="n">
        <v>17637100</v>
      </c>
      <c r="AQ42" s="9" t="n">
        <v>2401</v>
      </c>
      <c r="AR42" s="9" t="n">
        <v>191950</v>
      </c>
      <c r="AS42" s="9" t="n">
        <v>4383</v>
      </c>
    </row>
    <row r="43">
      <c r="A43" s="11" t="n">
        <v>46105</v>
      </c>
      <c r="B43" s="9" t="n">
        <v>4155908058</v>
      </c>
      <c r="C43" s="9" t="n">
        <v>83180000</v>
      </c>
      <c r="D43" s="9" t="n">
        <v>0</v>
      </c>
      <c r="E43" s="9" t="n">
        <v>7718000000</v>
      </c>
      <c r="F43" s="9" t="n">
        <v>0</v>
      </c>
      <c r="G43" s="9" t="n">
        <v>4017250000</v>
      </c>
      <c r="H43" s="9" t="n">
        <v>499080000</v>
      </c>
      <c r="I43" s="9" t="n">
        <v>6002500000</v>
      </c>
      <c r="J43" s="9" t="n">
        <v>0</v>
      </c>
      <c r="K43" s="9" t="n">
        <v>0</v>
      </c>
      <c r="L43" s="9" t="n">
        <v>8173158058</v>
      </c>
      <c r="M43" s="9" t="n">
        <v>582260000</v>
      </c>
      <c r="N43" s="9" t="n">
        <v>6002500000</v>
      </c>
      <c r="O43" s="9" t="n">
        <v>7718000000</v>
      </c>
      <c r="P43" s="9" t="n">
        <v>0</v>
      </c>
      <c r="Q43" s="9" t="n">
        <v>26690.3113</v>
      </c>
      <c r="R43" s="9" t="n">
        <v>534.197</v>
      </c>
      <c r="S43" s="9" t="n">
        <v>0</v>
      </c>
      <c r="T43" s="9" t="n">
        <v>49566.394</v>
      </c>
      <c r="U43" s="9" t="n">
        <v>0</v>
      </c>
      <c r="V43" s="9" t="n">
        <v>25799.7507</v>
      </c>
      <c r="W43" s="9" t="n">
        <v>3205.1822</v>
      </c>
      <c r="X43" s="9" t="n">
        <v>38549.1423</v>
      </c>
      <c r="Y43" s="9" t="n">
        <v>0</v>
      </c>
      <c r="Z43" s="9" t="n">
        <v>0</v>
      </c>
      <c r="AA43" s="9" t="n">
        <v>52490.062</v>
      </c>
      <c r="AB43" s="9" t="n">
        <v>3739.3792</v>
      </c>
      <c r="AC43" s="9" t="n">
        <v>38549.1423</v>
      </c>
      <c r="AD43" s="9" t="n">
        <v>49566.394</v>
      </c>
      <c r="AE43" s="9" t="n">
        <v>0</v>
      </c>
      <c r="AF43" s="9" t="n">
        <v>70591.13250000001</v>
      </c>
      <c r="AG43" s="9" t="n">
        <v>155715.5</v>
      </c>
      <c r="AH43" s="9" t="n">
        <v>166360</v>
      </c>
      <c r="AI43" s="9" t="n">
        <v>179250000</v>
      </c>
      <c r="AJ43" s="9" t="n">
        <v>94000000</v>
      </c>
      <c r="AK43" s="9" t="n">
        <v>53000000</v>
      </c>
      <c r="AL43" s="9" t="n">
        <v>46078779</v>
      </c>
      <c r="AM43" s="9" t="n">
        <v>30000000</v>
      </c>
      <c r="AN43" s="9" t="n">
        <v>70000000</v>
      </c>
      <c r="AO43" s="9" t="n">
        <v>27000000</v>
      </c>
      <c r="AP43" s="9" t="n">
        <v>17469700</v>
      </c>
      <c r="AQ43" s="9" t="n">
        <v>2401</v>
      </c>
      <c r="AR43" s="9" t="n">
        <v>191950</v>
      </c>
      <c r="AS43" s="9" t="n">
        <v>4408.25</v>
      </c>
    </row>
    <row r="44">
      <c r="A44" s="11" t="n">
        <v>46106</v>
      </c>
      <c r="B44" s="9" t="n">
        <v>4177403336</v>
      </c>
      <c r="C44" s="9" t="n">
        <v>83180000</v>
      </c>
      <c r="D44" s="9" t="n">
        <v>0</v>
      </c>
      <c r="E44" s="9" t="n">
        <v>7718000000</v>
      </c>
      <c r="F44" s="9" t="n">
        <v>0</v>
      </c>
      <c r="G44" s="9" t="n">
        <v>4037500000</v>
      </c>
      <c r="H44" s="9" t="n">
        <v>499080000</v>
      </c>
      <c r="I44" s="9" t="n">
        <v>6002500000</v>
      </c>
      <c r="J44" s="9" t="n">
        <v>0</v>
      </c>
      <c r="K44" s="9" t="n">
        <v>0</v>
      </c>
      <c r="L44" s="9" t="n">
        <v>8214903336</v>
      </c>
      <c r="M44" s="9" t="n">
        <v>582260000</v>
      </c>
      <c r="N44" s="9" t="n">
        <v>6002500000</v>
      </c>
      <c r="O44" s="9" t="n">
        <v>7718000000</v>
      </c>
      <c r="P44" s="9" t="n">
        <v>0</v>
      </c>
      <c r="Q44" s="9" t="n">
        <v>27085.0034</v>
      </c>
      <c r="R44" s="9" t="n">
        <v>539.309</v>
      </c>
      <c r="S44" s="9" t="n">
        <v>0</v>
      </c>
      <c r="T44" s="9" t="n">
        <v>50040.7129</v>
      </c>
      <c r="U44" s="9" t="n">
        <v>0</v>
      </c>
      <c r="V44" s="9" t="n">
        <v>26177.9115</v>
      </c>
      <c r="W44" s="9" t="n">
        <v>3235.8537</v>
      </c>
      <c r="X44" s="9" t="n">
        <v>38918.033</v>
      </c>
      <c r="Y44" s="9" t="n">
        <v>0</v>
      </c>
      <c r="Z44" s="9" t="n">
        <v>0</v>
      </c>
      <c r="AA44" s="9" t="n">
        <v>53262.9149</v>
      </c>
      <c r="AB44" s="9" t="n">
        <v>3775.1627</v>
      </c>
      <c r="AC44" s="9" t="n">
        <v>38918.033</v>
      </c>
      <c r="AD44" s="9" t="n">
        <v>50040.7129</v>
      </c>
      <c r="AE44" s="9" t="n">
        <v>0</v>
      </c>
      <c r="AF44" s="9" t="n">
        <v>70632.12</v>
      </c>
      <c r="AG44" s="9" t="n">
        <v>154234.5</v>
      </c>
      <c r="AH44" s="9" t="n">
        <v>166360</v>
      </c>
      <c r="AI44" s="9" t="n">
        <v>180000000</v>
      </c>
      <c r="AJ44" s="9" t="n">
        <v>94750000</v>
      </c>
      <c r="AK44" s="9" t="n">
        <v>54250000</v>
      </c>
      <c r="AL44" s="9" t="n">
        <v>47165543</v>
      </c>
      <c r="AM44" s="9" t="n">
        <v>30000000</v>
      </c>
      <c r="AN44" s="9" t="n">
        <v>70000000</v>
      </c>
      <c r="AO44" s="9" t="n">
        <v>27000000</v>
      </c>
      <c r="AP44" s="9" t="n">
        <v>17521650</v>
      </c>
      <c r="AQ44" s="9" t="n">
        <v>2401</v>
      </c>
      <c r="AR44" s="9" t="n">
        <v>191950</v>
      </c>
      <c r="AS44" s="9" t="n">
        <v>4476</v>
      </c>
    </row>
    <row r="45">
      <c r="A45" s="11" t="n">
        <v>46107</v>
      </c>
      <c r="B45" s="9" t="n">
        <v>4216335114</v>
      </c>
      <c r="C45" s="9" t="n">
        <v>81235000</v>
      </c>
      <c r="D45" s="9" t="n">
        <v>0</v>
      </c>
      <c r="E45" s="9" t="n">
        <v>7718000000</v>
      </c>
      <c r="F45" s="9" t="n">
        <v>0</v>
      </c>
      <c r="G45" s="9" t="n">
        <v>4084750000</v>
      </c>
      <c r="H45" s="9" t="n">
        <v>487410000</v>
      </c>
      <c r="I45" s="9" t="n">
        <v>6002500000</v>
      </c>
      <c r="J45" s="9" t="n">
        <v>0</v>
      </c>
      <c r="K45" s="9" t="n">
        <v>0</v>
      </c>
      <c r="L45" s="9" t="n">
        <v>8301085114</v>
      </c>
      <c r="M45" s="9" t="n">
        <v>568645000</v>
      </c>
      <c r="N45" s="9" t="n">
        <v>6002500000</v>
      </c>
      <c r="O45" s="9" t="n">
        <v>7718000000</v>
      </c>
      <c r="P45" s="9" t="n">
        <v>0</v>
      </c>
      <c r="Q45" s="9" t="n">
        <v>27048.9355</v>
      </c>
      <c r="R45" s="9" t="n">
        <v>521.211</v>
      </c>
      <c r="S45" s="9" t="n">
        <v>0</v>
      </c>
      <c r="T45" s="9" t="n">
        <v>49512.41</v>
      </c>
      <c r="U45" s="9" t="n">
        <v>0</v>
      </c>
      <c r="V45" s="9" t="n">
        <v>26204.4051</v>
      </c>
      <c r="W45" s="9" t="n">
        <v>3127.2662</v>
      </c>
      <c r="X45" s="9" t="n">
        <v>38507.1574</v>
      </c>
      <c r="Y45" s="9" t="n">
        <v>0</v>
      </c>
      <c r="Z45" s="9" t="n">
        <v>0</v>
      </c>
      <c r="AA45" s="9" t="n">
        <v>53253.3406</v>
      </c>
      <c r="AB45" s="9" t="n">
        <v>3648.4773</v>
      </c>
      <c r="AC45" s="9" t="n">
        <v>38507.1574</v>
      </c>
      <c r="AD45" s="9" t="n">
        <v>49512.41</v>
      </c>
      <c r="AE45" s="9" t="n">
        <v>0</v>
      </c>
      <c r="AF45" s="9" t="n">
        <v>69504.19</v>
      </c>
      <c r="AG45" s="9" t="n">
        <v>155885.5</v>
      </c>
      <c r="AH45" s="9" t="n">
        <v>162470</v>
      </c>
      <c r="AI45" s="9" t="n">
        <v>182000000</v>
      </c>
      <c r="AJ45" s="9" t="n">
        <v>96250000</v>
      </c>
      <c r="AK45" s="9" t="n">
        <v>55500000</v>
      </c>
      <c r="AL45" s="9" t="n">
        <v>48252307</v>
      </c>
      <c r="AM45" s="9" t="n">
        <v>30000000</v>
      </c>
      <c r="AN45" s="9" t="n">
        <v>70000000</v>
      </c>
      <c r="AO45" s="9" t="n">
        <v>27000000</v>
      </c>
      <c r="AP45" s="9" t="n">
        <v>17671700</v>
      </c>
      <c r="AQ45" s="9" t="n">
        <v>2401</v>
      </c>
      <c r="AR45" s="9" t="n">
        <v>187485</v>
      </c>
      <c r="AS45" s="9" t="n">
        <v>4440</v>
      </c>
    </row>
    <row r="46">
      <c r="A46" s="11" t="n">
        <v>46108</v>
      </c>
      <c r="B46" s="9" t="n">
        <v>4207301502</v>
      </c>
      <c r="C46" s="9" t="n">
        <v>79290000</v>
      </c>
      <c r="D46" s="9" t="n">
        <v>0</v>
      </c>
      <c r="E46" s="9" t="n">
        <v>7718000000</v>
      </c>
      <c r="F46" s="9" t="n">
        <v>0</v>
      </c>
      <c r="G46" s="9" t="n">
        <v>4085740000</v>
      </c>
      <c r="H46" s="9" t="n">
        <v>475740000</v>
      </c>
      <c r="I46" s="9" t="n">
        <v>6002500000</v>
      </c>
      <c r="J46" s="9" t="n">
        <v>0</v>
      </c>
      <c r="K46" s="9" t="n">
        <v>0</v>
      </c>
      <c r="L46" s="9" t="n">
        <v>8293041502</v>
      </c>
      <c r="M46" s="9" t="n">
        <v>555030000</v>
      </c>
      <c r="N46" s="9" t="n">
        <v>6002500000</v>
      </c>
      <c r="O46" s="9" t="n">
        <v>7718000000</v>
      </c>
      <c r="P46" s="9" t="n">
        <v>0</v>
      </c>
      <c r="Q46" s="9" t="n">
        <v>26955.3763</v>
      </c>
      <c r="R46" s="9" t="n">
        <v>507.9959</v>
      </c>
      <c r="S46" s="9" t="n">
        <v>0</v>
      </c>
      <c r="T46" s="9" t="n">
        <v>49447.7503</v>
      </c>
      <c r="U46" s="9" t="n">
        <v>0</v>
      </c>
      <c r="V46" s="9" t="n">
        <v>26176.555</v>
      </c>
      <c r="W46" s="9" t="n">
        <v>3047.9752</v>
      </c>
      <c r="X46" s="9" t="n">
        <v>38456.8698</v>
      </c>
      <c r="Y46" s="9" t="n">
        <v>0</v>
      </c>
      <c r="Z46" s="9" t="n">
        <v>0</v>
      </c>
      <c r="AA46" s="9" t="n">
        <v>53131.9313</v>
      </c>
      <c r="AB46" s="9" t="n">
        <v>3555.9711</v>
      </c>
      <c r="AC46" s="9" t="n">
        <v>38456.8698</v>
      </c>
      <c r="AD46" s="9" t="n">
        <v>49447.7503</v>
      </c>
      <c r="AE46" s="9" t="n">
        <v>0</v>
      </c>
      <c r="AF46" s="9" t="n">
        <v>68150.205</v>
      </c>
      <c r="AG46" s="9" t="n">
        <v>156085.75</v>
      </c>
      <c r="AH46" s="9" t="n">
        <v>158580</v>
      </c>
      <c r="AI46" s="9" t="n">
        <v>182010000</v>
      </c>
      <c r="AJ46" s="9" t="n">
        <v>97000000</v>
      </c>
      <c r="AK46" s="9" t="n">
        <v>55510000</v>
      </c>
      <c r="AL46" s="9" t="n">
        <v>48261001</v>
      </c>
      <c r="AM46" s="9" t="n">
        <v>30000000</v>
      </c>
      <c r="AN46" s="9" t="n">
        <v>70000000</v>
      </c>
      <c r="AO46" s="9" t="n">
        <v>27000000</v>
      </c>
      <c r="AP46" s="9" t="n">
        <v>17616300</v>
      </c>
      <c r="AQ46" s="9" t="n">
        <v>2401</v>
      </c>
      <c r="AR46" s="9" t="n">
        <v>183020</v>
      </c>
      <c r="AS46" s="9" t="n">
        <v>4448.75</v>
      </c>
    </row>
    <row r="47">
      <c r="A47" s="11" t="n">
        <v>46109</v>
      </c>
      <c r="B47" s="9" t="n">
        <v>4227586780</v>
      </c>
      <c r="C47" s="9" t="n">
        <v>79290000</v>
      </c>
      <c r="D47" s="9" t="n">
        <v>0</v>
      </c>
      <c r="E47" s="9" t="n">
        <v>7718000000</v>
      </c>
      <c r="F47" s="9" t="n">
        <v>0</v>
      </c>
      <c r="G47" s="9" t="n">
        <v>4148365000</v>
      </c>
      <c r="H47" s="9" t="n">
        <v>475740000</v>
      </c>
      <c r="I47" s="9" t="n">
        <v>6002500000</v>
      </c>
      <c r="J47" s="9" t="n">
        <v>0</v>
      </c>
      <c r="K47" s="9" t="n">
        <v>0</v>
      </c>
      <c r="L47" s="9" t="n">
        <v>8375951780</v>
      </c>
      <c r="M47" s="9" t="n">
        <v>555030000</v>
      </c>
      <c r="N47" s="9" t="n">
        <v>6002500000</v>
      </c>
      <c r="O47" s="9" t="n">
        <v>7718000000</v>
      </c>
      <c r="P47" s="9" t="n">
        <v>0</v>
      </c>
      <c r="Q47" s="9" t="n">
        <v>27028.5601</v>
      </c>
      <c r="R47" s="9" t="n">
        <v>506.9279</v>
      </c>
      <c r="S47" s="9" t="n">
        <v>0</v>
      </c>
      <c r="T47" s="9" t="n">
        <v>49343.7941</v>
      </c>
      <c r="U47" s="9" t="n">
        <v>0</v>
      </c>
      <c r="V47" s="9" t="n">
        <v>26523.5413</v>
      </c>
      <c r="W47" s="9" t="n">
        <v>3041.5673</v>
      </c>
      <c r="X47" s="9" t="n">
        <v>38376.0203</v>
      </c>
      <c r="Y47" s="9" t="n">
        <v>0</v>
      </c>
      <c r="Z47" s="9" t="n">
        <v>0</v>
      </c>
      <c r="AA47" s="9" t="n">
        <v>53552.1014</v>
      </c>
      <c r="AB47" s="9" t="n">
        <v>3548.4952</v>
      </c>
      <c r="AC47" s="9" t="n">
        <v>38376.0203</v>
      </c>
      <c r="AD47" s="9" t="n">
        <v>49343.7941</v>
      </c>
      <c r="AE47" s="9" t="n">
        <v>0</v>
      </c>
      <c r="AF47" s="9" t="n">
        <v>66808.03999999999</v>
      </c>
      <c r="AG47" s="9" t="n">
        <v>156414.6667</v>
      </c>
      <c r="AH47" s="9" t="n">
        <v>158580</v>
      </c>
      <c r="AI47" s="9" t="n">
        <v>185001666.6667</v>
      </c>
      <c r="AJ47" s="9" t="n">
        <v>96830000</v>
      </c>
      <c r="AK47" s="9" t="n">
        <v>55500000</v>
      </c>
      <c r="AL47" s="9" t="n">
        <v>48252306.6667</v>
      </c>
      <c r="AM47" s="9" t="n">
        <v>30000000</v>
      </c>
      <c r="AN47" s="9" t="n">
        <v>70000000</v>
      </c>
      <c r="AO47" s="9" t="n">
        <v>27000000</v>
      </c>
      <c r="AP47" s="9" t="n">
        <v>17721700</v>
      </c>
      <c r="AQ47" s="9" t="n">
        <v>2401</v>
      </c>
      <c r="AR47" s="9" t="n">
        <v>182850</v>
      </c>
      <c r="AS47" s="9" t="n">
        <v>4502.6667</v>
      </c>
    </row>
    <row r="48">
      <c r="A48" s="11" t="n">
        <v>46110</v>
      </c>
      <c r="B48" s="9" t="n">
        <v>4240327166.8</v>
      </c>
      <c r="C48" s="9" t="n">
        <v>78238000</v>
      </c>
      <c r="D48" s="9" t="n">
        <v>0</v>
      </c>
      <c r="E48" s="9" t="n">
        <v>7718000000</v>
      </c>
      <c r="F48" s="9" t="n">
        <v>0</v>
      </c>
      <c r="G48" s="9" t="n">
        <v>4193163000</v>
      </c>
      <c r="H48" s="9" t="n">
        <v>469428000</v>
      </c>
      <c r="I48" s="9" t="n">
        <v>6002500000</v>
      </c>
      <c r="J48" s="9" t="n">
        <v>0</v>
      </c>
      <c r="K48" s="9" t="n">
        <v>0</v>
      </c>
      <c r="L48" s="9" t="n">
        <v>8433490166.8</v>
      </c>
      <c r="M48" s="9" t="n">
        <v>547666000</v>
      </c>
      <c r="N48" s="9" t="n">
        <v>6002500000</v>
      </c>
      <c r="O48" s="9" t="n">
        <v>7718000000</v>
      </c>
      <c r="P48" s="9" t="n">
        <v>0</v>
      </c>
      <c r="Q48" s="9" t="n">
        <v>27167.2602</v>
      </c>
      <c r="R48" s="9" t="n">
        <v>501.2688</v>
      </c>
      <c r="S48" s="9" t="n">
        <v>0</v>
      </c>
      <c r="T48" s="9" t="n">
        <v>49448.4683</v>
      </c>
      <c r="U48" s="9" t="n">
        <v>0</v>
      </c>
      <c r="V48" s="9" t="n">
        <v>26866.7515</v>
      </c>
      <c r="W48" s="9" t="n">
        <v>3007.613</v>
      </c>
      <c r="X48" s="9" t="n">
        <v>38457.4282</v>
      </c>
      <c r="Y48" s="9" t="n">
        <v>0</v>
      </c>
      <c r="Z48" s="9" t="n">
        <v>0</v>
      </c>
      <c r="AA48" s="9" t="n">
        <v>54034.0118</v>
      </c>
      <c r="AB48" s="9" t="n">
        <v>3508.8818</v>
      </c>
      <c r="AC48" s="9" t="n">
        <v>38457.4282</v>
      </c>
      <c r="AD48" s="9" t="n">
        <v>49448.4683</v>
      </c>
      <c r="AE48" s="9" t="n">
        <v>0</v>
      </c>
      <c r="AF48" s="9" t="n">
        <v>66705.50199999999</v>
      </c>
      <c r="AG48" s="9" t="n">
        <v>156083.6</v>
      </c>
      <c r="AH48" s="9" t="n">
        <v>156476</v>
      </c>
      <c r="AI48" s="9" t="n">
        <v>187203000</v>
      </c>
      <c r="AJ48" s="9" t="n">
        <v>96300000</v>
      </c>
      <c r="AK48" s="9" t="n">
        <v>55200000</v>
      </c>
      <c r="AL48" s="9" t="n">
        <v>47991483.4</v>
      </c>
      <c r="AM48" s="9" t="n">
        <v>30000000</v>
      </c>
      <c r="AN48" s="9" t="n">
        <v>70000000</v>
      </c>
      <c r="AO48" s="9" t="n">
        <v>27000000</v>
      </c>
      <c r="AP48" s="9" t="n">
        <v>17803280</v>
      </c>
      <c r="AQ48" s="9" t="n">
        <v>2401</v>
      </c>
      <c r="AR48" s="9" t="n">
        <v>182514</v>
      </c>
      <c r="AS48" s="9" t="n">
        <v>4492</v>
      </c>
    </row>
    <row r="49">
      <c r="A49" s="11" t="n">
        <v>46111</v>
      </c>
      <c r="B49" s="9" t="n">
        <v>4269906860.4</v>
      </c>
      <c r="C49" s="9" t="n">
        <v>77998000</v>
      </c>
      <c r="D49" s="9" t="n">
        <v>0</v>
      </c>
      <c r="E49" s="9" t="n">
        <v>7718000000</v>
      </c>
      <c r="F49" s="9" t="n">
        <v>0</v>
      </c>
      <c r="G49" s="9" t="n">
        <v>4123500000</v>
      </c>
      <c r="H49" s="9" t="n">
        <v>467988000</v>
      </c>
      <c r="I49" s="9" t="n">
        <v>6002500000</v>
      </c>
      <c r="J49" s="9" t="n">
        <v>0</v>
      </c>
      <c r="K49" s="9" t="n">
        <v>0</v>
      </c>
      <c r="L49" s="9" t="n">
        <v>8393406860.4</v>
      </c>
      <c r="M49" s="9" t="n">
        <v>545986000</v>
      </c>
      <c r="N49" s="9" t="n">
        <v>6002500000</v>
      </c>
      <c r="O49" s="9" t="n">
        <v>7718000000</v>
      </c>
      <c r="P49" s="9" t="n">
        <v>0</v>
      </c>
      <c r="Q49" s="9" t="n">
        <v>27200.3205</v>
      </c>
      <c r="R49" s="9" t="n">
        <v>496.8745</v>
      </c>
      <c r="S49" s="9" t="n">
        <v>0</v>
      </c>
      <c r="T49" s="9" t="n">
        <v>49166.338</v>
      </c>
      <c r="U49" s="9" t="n">
        <v>0</v>
      </c>
      <c r="V49" s="9" t="n">
        <v>26267.8248</v>
      </c>
      <c r="W49" s="9" t="n">
        <v>2981.2468</v>
      </c>
      <c r="X49" s="9" t="n">
        <v>38238.0078</v>
      </c>
      <c r="Y49" s="9" t="n">
        <v>0</v>
      </c>
      <c r="Z49" s="9" t="n">
        <v>0</v>
      </c>
      <c r="AA49" s="9" t="n">
        <v>53468.1452</v>
      </c>
      <c r="AB49" s="9" t="n">
        <v>3478.1213</v>
      </c>
      <c r="AC49" s="9" t="n">
        <v>38238.0078</v>
      </c>
      <c r="AD49" s="9" t="n">
        <v>49166.338</v>
      </c>
      <c r="AE49" s="9" t="n">
        <v>0</v>
      </c>
      <c r="AF49" s="9" t="n">
        <v>66931.576</v>
      </c>
      <c r="AG49" s="9" t="n">
        <v>156979.4</v>
      </c>
      <c r="AH49" s="9" t="n">
        <v>155996</v>
      </c>
      <c r="AI49" s="9" t="n">
        <v>183800000</v>
      </c>
      <c r="AJ49" s="9" t="n">
        <v>96300000</v>
      </c>
      <c r="AK49" s="9" t="n">
        <v>55800000</v>
      </c>
      <c r="AL49" s="9" t="n">
        <v>48513130.2</v>
      </c>
      <c r="AM49" s="9" t="n">
        <v>30000000</v>
      </c>
      <c r="AN49" s="9" t="n">
        <v>70000000</v>
      </c>
      <c r="AO49" s="9" t="n">
        <v>27500000</v>
      </c>
      <c r="AP49" s="9" t="n">
        <v>17955640</v>
      </c>
      <c r="AQ49" s="9" t="n">
        <v>2401</v>
      </c>
      <c r="AR49" s="9" t="n">
        <v>182520</v>
      </c>
      <c r="AS49" s="9" t="n">
        <v>4535.4</v>
      </c>
    </row>
    <row r="50">
      <c r="A50" s="11" t="n">
        <v>46112</v>
      </c>
      <c r="B50" s="9" t="n">
        <v>4298676024</v>
      </c>
      <c r="C50" s="9" t="n">
        <v>78395000</v>
      </c>
      <c r="D50" s="9" t="n">
        <v>0</v>
      </c>
      <c r="E50" s="9" t="n">
        <v>7718000000</v>
      </c>
      <c r="F50" s="9" t="n">
        <v>0</v>
      </c>
      <c r="G50" s="9" t="n">
        <v>4150000000</v>
      </c>
      <c r="H50" s="9" t="n">
        <v>470370000</v>
      </c>
      <c r="I50" s="9" t="n">
        <v>6002500000</v>
      </c>
      <c r="J50" s="9" t="n">
        <v>0</v>
      </c>
      <c r="K50" s="9" t="n">
        <v>0</v>
      </c>
      <c r="L50" s="9" t="n">
        <v>8448676024</v>
      </c>
      <c r="M50" s="9" t="n">
        <v>548765000</v>
      </c>
      <c r="N50" s="9" t="n">
        <v>6002500000</v>
      </c>
      <c r="O50" s="9" t="n">
        <v>7718000000</v>
      </c>
      <c r="P50" s="9" t="n">
        <v>0</v>
      </c>
      <c r="Q50" s="9" t="n">
        <v>27322.6722</v>
      </c>
      <c r="R50" s="9" t="n">
        <v>498.2839</v>
      </c>
      <c r="S50" s="9" t="n">
        <v>0</v>
      </c>
      <c r="T50" s="9" t="n">
        <v>49056.1241</v>
      </c>
      <c r="U50" s="9" t="n">
        <v>0</v>
      </c>
      <c r="V50" s="9" t="n">
        <v>26377.6775</v>
      </c>
      <c r="W50" s="9" t="n">
        <v>2989.7032</v>
      </c>
      <c r="X50" s="9" t="n">
        <v>38152.2914</v>
      </c>
      <c r="Y50" s="9" t="n">
        <v>0</v>
      </c>
      <c r="Z50" s="9" t="n">
        <v>0</v>
      </c>
      <c r="AA50" s="9" t="n">
        <v>53700.3497</v>
      </c>
      <c r="AB50" s="9" t="n">
        <v>3487.987</v>
      </c>
      <c r="AC50" s="9" t="n">
        <v>38152.2914</v>
      </c>
      <c r="AD50" s="9" t="n">
        <v>49056.1241</v>
      </c>
      <c r="AE50" s="9" t="n">
        <v>0</v>
      </c>
      <c r="AF50" s="9" t="n">
        <v>67000</v>
      </c>
      <c r="AG50" s="9" t="n">
        <v>157330</v>
      </c>
      <c r="AH50" s="9" t="n">
        <v>156790</v>
      </c>
      <c r="AI50" s="9" t="n">
        <v>185000000</v>
      </c>
      <c r="AJ50" s="9" t="n">
        <v>97000000</v>
      </c>
      <c r="AK50" s="9" t="n">
        <v>56000000</v>
      </c>
      <c r="AL50" s="9" t="n">
        <v>48687012</v>
      </c>
      <c r="AM50" s="9" t="n">
        <v>30000000</v>
      </c>
      <c r="AN50" s="9" t="n">
        <v>70000000</v>
      </c>
      <c r="AO50" s="9" t="n">
        <v>28000000</v>
      </c>
      <c r="AP50" s="9" t="n">
        <v>18098800</v>
      </c>
      <c r="AQ50" s="9" t="n">
        <v>2401</v>
      </c>
      <c r="AR50" s="9" t="n">
        <v>182520</v>
      </c>
      <c r="AS50" s="9" t="n">
        <v>4576</v>
      </c>
    </row>
    <row r="51">
      <c r="A51" s="11" t="n">
        <v>46113</v>
      </c>
      <c r="B51" s="9" t="n">
        <v>4343690007</v>
      </c>
      <c r="C51" s="9" t="n">
        <v>77450000</v>
      </c>
      <c r="D51" s="9" t="n">
        <v>0</v>
      </c>
      <c r="E51" s="9" t="n">
        <v>7718000000</v>
      </c>
      <c r="F51" s="9" t="n">
        <v>0</v>
      </c>
      <c r="G51" s="9" t="n">
        <v>4192250000</v>
      </c>
      <c r="H51" s="9" t="n">
        <v>464700000</v>
      </c>
      <c r="I51" s="9" t="n">
        <v>6002500000</v>
      </c>
      <c r="J51" s="9" t="n">
        <v>0</v>
      </c>
      <c r="K51" s="9" t="n">
        <v>0</v>
      </c>
      <c r="L51" s="9" t="n">
        <v>8535940007</v>
      </c>
      <c r="M51" s="9" t="n">
        <v>542150000</v>
      </c>
      <c r="N51" s="9" t="n">
        <v>6002500000</v>
      </c>
      <c r="O51" s="9" t="n">
        <v>7718000000</v>
      </c>
      <c r="P51" s="9" t="n">
        <v>0</v>
      </c>
      <c r="Q51" s="9" t="n">
        <v>27528.6879</v>
      </c>
      <c r="R51" s="9" t="n">
        <v>490.8459</v>
      </c>
      <c r="S51" s="9" t="n">
        <v>0</v>
      </c>
      <c r="T51" s="9" t="n">
        <v>48913.5172</v>
      </c>
      <c r="U51" s="9" t="n">
        <v>0</v>
      </c>
      <c r="V51" s="9" t="n">
        <v>26568.9122</v>
      </c>
      <c r="W51" s="9" t="n">
        <v>2945.0753</v>
      </c>
      <c r="X51" s="9" t="n">
        <v>38041.3821</v>
      </c>
      <c r="Y51" s="9" t="n">
        <v>0</v>
      </c>
      <c r="Z51" s="9" t="n">
        <v>0</v>
      </c>
      <c r="AA51" s="9" t="n">
        <v>54097.6002</v>
      </c>
      <c r="AB51" s="9" t="n">
        <v>3435.9212</v>
      </c>
      <c r="AC51" s="9" t="n">
        <v>38041.3821</v>
      </c>
      <c r="AD51" s="9" t="n">
        <v>48913.5172</v>
      </c>
      <c r="AE51" s="9" t="n">
        <v>0</v>
      </c>
      <c r="AF51" s="9" t="n">
        <v>68323.9425</v>
      </c>
      <c r="AG51" s="9" t="n">
        <v>157789</v>
      </c>
      <c r="AH51" s="9" t="n">
        <v>154900</v>
      </c>
      <c r="AI51" s="9" t="n">
        <v>186750000</v>
      </c>
      <c r="AJ51" s="9" t="n">
        <v>98000000</v>
      </c>
      <c r="AK51" s="9" t="n">
        <v>57500000</v>
      </c>
      <c r="AL51" s="9" t="n">
        <v>49991128.5</v>
      </c>
      <c r="AM51" s="9" t="n">
        <v>30000000</v>
      </c>
      <c r="AN51" s="9" t="n">
        <v>70000000</v>
      </c>
      <c r="AO51" s="9" t="n">
        <v>28500000</v>
      </c>
      <c r="AP51" s="9" t="n">
        <v>18260350</v>
      </c>
      <c r="AQ51" s="9" t="n">
        <v>2401</v>
      </c>
      <c r="AR51" s="9" t="n">
        <v>193125</v>
      </c>
      <c r="AS51" s="9" t="n">
        <v>4722</v>
      </c>
    </row>
    <row r="52">
      <c r="A52" s="11" t="n">
        <v>46114</v>
      </c>
      <c r="B52" s="9" t="n">
        <v>4328448668</v>
      </c>
      <c r="C52" s="9" t="n">
        <v>78155000</v>
      </c>
      <c r="D52" s="9" t="n">
        <v>0</v>
      </c>
      <c r="E52" s="9" t="n">
        <v>7718000000</v>
      </c>
      <c r="F52" s="9" t="n">
        <v>0</v>
      </c>
      <c r="G52" s="9" t="n">
        <v>4210000000</v>
      </c>
      <c r="H52" s="9" t="n">
        <v>468930000</v>
      </c>
      <c r="I52" s="9" t="n">
        <v>6002500000</v>
      </c>
      <c r="J52" s="9" t="n">
        <v>0</v>
      </c>
      <c r="K52" s="9" t="n">
        <v>0</v>
      </c>
      <c r="L52" s="9" t="n">
        <v>8538448668</v>
      </c>
      <c r="M52" s="9" t="n">
        <v>547085000</v>
      </c>
      <c r="N52" s="9" t="n">
        <v>6002500000</v>
      </c>
      <c r="O52" s="9" t="n">
        <v>7718000000</v>
      </c>
      <c r="P52" s="9" t="n">
        <v>0</v>
      </c>
      <c r="Q52" s="9" t="n">
        <v>27036.4253</v>
      </c>
      <c r="R52" s="9" t="n">
        <v>488.173</v>
      </c>
      <c r="S52" s="9" t="n">
        <v>0</v>
      </c>
      <c r="T52" s="9" t="n">
        <v>48208.295</v>
      </c>
      <c r="U52" s="9" t="n">
        <v>0</v>
      </c>
      <c r="V52" s="9" t="n">
        <v>26296.5693</v>
      </c>
      <c r="W52" s="9" t="n">
        <v>2929.0381</v>
      </c>
      <c r="X52" s="9" t="n">
        <v>37492.9115</v>
      </c>
      <c r="Y52" s="9" t="n">
        <v>0</v>
      </c>
      <c r="Z52" s="9" t="n">
        <v>0</v>
      </c>
      <c r="AA52" s="9" t="n">
        <v>53332.9946</v>
      </c>
      <c r="AB52" s="9" t="n">
        <v>3417.2111</v>
      </c>
      <c r="AC52" s="9" t="n">
        <v>37492.9115</v>
      </c>
      <c r="AD52" s="9" t="n">
        <v>48208.295</v>
      </c>
      <c r="AE52" s="9" t="n">
        <v>0</v>
      </c>
      <c r="AF52" s="9" t="n">
        <v>66511.94</v>
      </c>
      <c r="AG52" s="9" t="n">
        <v>160098</v>
      </c>
      <c r="AH52" s="9" t="n">
        <v>156310</v>
      </c>
      <c r="AI52" s="9" t="n">
        <v>187500000</v>
      </c>
      <c r="AJ52" s="9" t="n">
        <v>98500000</v>
      </c>
      <c r="AK52" s="9" t="n">
        <v>58000000</v>
      </c>
      <c r="AL52" s="9" t="n">
        <v>50425834</v>
      </c>
      <c r="AM52" s="9" t="n">
        <v>30000000</v>
      </c>
      <c r="AN52" s="9" t="n">
        <v>70000000</v>
      </c>
      <c r="AO52" s="9" t="n">
        <v>29000000</v>
      </c>
      <c r="AP52" s="9" t="n">
        <v>18121800</v>
      </c>
      <c r="AQ52" s="9" t="n">
        <v>2401</v>
      </c>
      <c r="AR52" s="9" t="n">
        <v>196660</v>
      </c>
      <c r="AS52" s="9" t="n">
        <v>4625.5</v>
      </c>
    </row>
    <row r="53">
      <c r="A53" s="11" t="n">
        <v>46115</v>
      </c>
      <c r="B53" s="9" t="n">
        <v>4325602418</v>
      </c>
      <c r="C53" s="9" t="n">
        <v>78155000</v>
      </c>
      <c r="D53" s="9" t="n">
        <v>0</v>
      </c>
      <c r="E53" s="9" t="n">
        <v>7718000000</v>
      </c>
      <c r="F53" s="9" t="n">
        <v>0</v>
      </c>
      <c r="G53" s="9" t="n">
        <v>4210000000</v>
      </c>
      <c r="H53" s="9" t="n">
        <v>468930000</v>
      </c>
      <c r="I53" s="9" t="n">
        <v>6002500000</v>
      </c>
      <c r="J53" s="9" t="n">
        <v>0</v>
      </c>
      <c r="K53" s="9" t="n">
        <v>0</v>
      </c>
      <c r="L53" s="9" t="n">
        <v>8535602418</v>
      </c>
      <c r="M53" s="9" t="n">
        <v>547085000</v>
      </c>
      <c r="N53" s="9" t="n">
        <v>6002500000</v>
      </c>
      <c r="O53" s="9" t="n">
        <v>7718000000</v>
      </c>
      <c r="P53" s="9" t="n">
        <v>0</v>
      </c>
      <c r="Q53" s="9" t="n">
        <v>27152.9009</v>
      </c>
      <c r="R53" s="9" t="n">
        <v>490.5992</v>
      </c>
      <c r="S53" s="9" t="n">
        <v>0</v>
      </c>
      <c r="T53" s="9" t="n">
        <v>48447.885</v>
      </c>
      <c r="U53" s="9" t="n">
        <v>0</v>
      </c>
      <c r="V53" s="9" t="n">
        <v>26427.2604</v>
      </c>
      <c r="W53" s="9" t="n">
        <v>2943.5951</v>
      </c>
      <c r="X53" s="9" t="n">
        <v>37679.2472</v>
      </c>
      <c r="Y53" s="9" t="n">
        <v>0</v>
      </c>
      <c r="Z53" s="9" t="n">
        <v>0</v>
      </c>
      <c r="AA53" s="9" t="n">
        <v>53580.1613</v>
      </c>
      <c r="AB53" s="9" t="n">
        <v>3434.1942</v>
      </c>
      <c r="AC53" s="9" t="n">
        <v>37679.2472</v>
      </c>
      <c r="AD53" s="9" t="n">
        <v>48447.885</v>
      </c>
      <c r="AE53" s="9" t="n">
        <v>0</v>
      </c>
      <c r="AF53" s="9" t="n">
        <v>66748.755</v>
      </c>
      <c r="AG53" s="9" t="n">
        <v>159307</v>
      </c>
      <c r="AH53" s="9" t="n">
        <v>156310</v>
      </c>
      <c r="AI53" s="9" t="n">
        <v>187500000</v>
      </c>
      <c r="AJ53" s="9" t="n">
        <v>98500000</v>
      </c>
      <c r="AK53" s="9" t="n">
        <v>58000000</v>
      </c>
      <c r="AL53" s="9" t="n">
        <v>50425834</v>
      </c>
      <c r="AM53" s="9" t="n">
        <v>30000000</v>
      </c>
      <c r="AN53" s="9" t="n">
        <v>70000000</v>
      </c>
      <c r="AO53" s="9" t="n">
        <v>29000000</v>
      </c>
      <c r="AP53" s="9" t="n">
        <v>18104550</v>
      </c>
      <c r="AQ53" s="9" t="n">
        <v>2401</v>
      </c>
      <c r="AR53" s="9" t="n">
        <v>193125</v>
      </c>
      <c r="AS53" s="9" t="n">
        <v>4669</v>
      </c>
    </row>
    <row r="54">
      <c r="A54" s="11" t="n">
        <v>46116</v>
      </c>
      <c r="B54" s="9" t="n">
        <v>4284950619.3333</v>
      </c>
      <c r="C54" s="9" t="n">
        <v>77465000</v>
      </c>
      <c r="D54" s="9" t="n">
        <v>0</v>
      </c>
      <c r="E54" s="9" t="n">
        <v>7718000000</v>
      </c>
      <c r="F54" s="9" t="n">
        <v>0</v>
      </c>
      <c r="G54" s="9" t="n">
        <v>4137166666.6667</v>
      </c>
      <c r="H54" s="9" t="n">
        <v>464790000</v>
      </c>
      <c r="I54" s="9" t="n">
        <v>6002500000</v>
      </c>
      <c r="J54" s="9" t="n">
        <v>0</v>
      </c>
      <c r="K54" s="9" t="n">
        <v>0</v>
      </c>
      <c r="L54" s="9" t="n">
        <v>8422117286</v>
      </c>
      <c r="M54" s="9" t="n">
        <v>542255000</v>
      </c>
      <c r="N54" s="9" t="n">
        <v>6002500000</v>
      </c>
      <c r="O54" s="9" t="n">
        <v>7718000000</v>
      </c>
      <c r="P54" s="9" t="n">
        <v>0</v>
      </c>
      <c r="Q54" s="9" t="n">
        <v>27146.1879</v>
      </c>
      <c r="R54" s="9" t="n">
        <v>490.7615</v>
      </c>
      <c r="S54" s="9" t="n">
        <v>0</v>
      </c>
      <c r="T54" s="9" t="n">
        <v>48895.7995</v>
      </c>
      <c r="U54" s="9" t="n">
        <v>0</v>
      </c>
      <c r="V54" s="9" t="n">
        <v>26210.0073</v>
      </c>
      <c r="W54" s="9" t="n">
        <v>2944.5693</v>
      </c>
      <c r="X54" s="9" t="n">
        <v>38027.6025</v>
      </c>
      <c r="Y54" s="9" t="n">
        <v>0</v>
      </c>
      <c r="Z54" s="9" t="n">
        <v>0</v>
      </c>
      <c r="AA54" s="9" t="n">
        <v>53356.1952</v>
      </c>
      <c r="AB54" s="9" t="n">
        <v>3435.3308</v>
      </c>
      <c r="AC54" s="9" t="n">
        <v>38027.6025</v>
      </c>
      <c r="AD54" s="9" t="n">
        <v>48895.7995</v>
      </c>
      <c r="AE54" s="9" t="n">
        <v>0</v>
      </c>
      <c r="AF54" s="9" t="n">
        <v>67058</v>
      </c>
      <c r="AG54" s="9" t="n">
        <v>157848</v>
      </c>
      <c r="AH54" s="9" t="n">
        <v>154930</v>
      </c>
      <c r="AI54" s="9" t="n">
        <v>184166666.6667</v>
      </c>
      <c r="AJ54" s="9" t="n">
        <v>97666666.66670001</v>
      </c>
      <c r="AK54" s="9" t="n">
        <v>57333333.3333</v>
      </c>
      <c r="AL54" s="9" t="n">
        <v>49846226.3333</v>
      </c>
      <c r="AM54" s="9" t="n">
        <v>30000000</v>
      </c>
      <c r="AN54" s="9" t="n">
        <v>70000000</v>
      </c>
      <c r="AO54" s="9" t="n">
        <v>28833333.3333</v>
      </c>
      <c r="AP54" s="9" t="n">
        <v>17921766.6667</v>
      </c>
      <c r="AQ54" s="9" t="n">
        <v>2401</v>
      </c>
      <c r="AR54" s="9" t="n">
        <v>182520</v>
      </c>
      <c r="AS54" s="9" t="n">
        <v>4672</v>
      </c>
    </row>
    <row r="55">
      <c r="A55" s="11" t="n">
        <v>46117</v>
      </c>
      <c r="B55" s="9" t="n">
        <v>4286504551</v>
      </c>
      <c r="C55" s="9" t="n">
        <v>77578750</v>
      </c>
      <c r="D55" s="9" t="n">
        <v>0</v>
      </c>
      <c r="E55" s="9" t="n">
        <v>7718000000</v>
      </c>
      <c r="F55" s="9" t="n">
        <v>0</v>
      </c>
      <c r="G55" s="9" t="n">
        <v>4131400000</v>
      </c>
      <c r="H55" s="9" t="n">
        <v>465472500</v>
      </c>
      <c r="I55" s="9" t="n">
        <v>6002500000</v>
      </c>
      <c r="J55" s="9" t="n">
        <v>0</v>
      </c>
      <c r="K55" s="9" t="n">
        <v>0</v>
      </c>
      <c r="L55" s="9" t="n">
        <v>8417904551</v>
      </c>
      <c r="M55" s="9" t="n">
        <v>543051250</v>
      </c>
      <c r="N55" s="9" t="n">
        <v>6002500000</v>
      </c>
      <c r="O55" s="9" t="n">
        <v>7718000000</v>
      </c>
      <c r="P55" s="9" t="n">
        <v>0</v>
      </c>
      <c r="Q55" s="9" t="n">
        <v>27228.7214</v>
      </c>
      <c r="R55" s="9" t="n">
        <v>492.7981</v>
      </c>
      <c r="S55" s="9" t="n">
        <v>0</v>
      </c>
      <c r="T55" s="9" t="n">
        <v>49026.7668</v>
      </c>
      <c r="U55" s="9" t="n">
        <v>0</v>
      </c>
      <c r="V55" s="9" t="n">
        <v>26243.4928</v>
      </c>
      <c r="W55" s="9" t="n">
        <v>2956.7883</v>
      </c>
      <c r="X55" s="9" t="n">
        <v>38129.4594</v>
      </c>
      <c r="Y55" s="9" t="n">
        <v>0</v>
      </c>
      <c r="Z55" s="9" t="n">
        <v>0</v>
      </c>
      <c r="AA55" s="9" t="n">
        <v>53472.2142</v>
      </c>
      <c r="AB55" s="9" t="n">
        <v>3449.5864</v>
      </c>
      <c r="AC55" s="9" t="n">
        <v>38129.4594</v>
      </c>
      <c r="AD55" s="9" t="n">
        <v>49026.7668</v>
      </c>
      <c r="AE55" s="9" t="n">
        <v>0</v>
      </c>
      <c r="AF55" s="9" t="n">
        <v>66990.25</v>
      </c>
      <c r="AG55" s="9" t="n">
        <v>157425.75</v>
      </c>
      <c r="AH55" s="9" t="n">
        <v>155157.5</v>
      </c>
      <c r="AI55" s="9" t="n">
        <v>183900000</v>
      </c>
      <c r="AJ55" s="9" t="n">
        <v>97750000</v>
      </c>
      <c r="AK55" s="9" t="n">
        <v>57250000</v>
      </c>
      <c r="AL55" s="9" t="n">
        <v>49773775.5</v>
      </c>
      <c r="AM55" s="9" t="n">
        <v>30000000</v>
      </c>
      <c r="AN55" s="9" t="n">
        <v>70000000</v>
      </c>
      <c r="AO55" s="9" t="n">
        <v>28500000</v>
      </c>
      <c r="AP55" s="9" t="n">
        <v>17945800</v>
      </c>
      <c r="AQ55" s="9" t="n">
        <v>2401</v>
      </c>
      <c r="AR55" s="9" t="n">
        <v>181230</v>
      </c>
      <c r="AS55" s="9" t="n">
        <v>4676</v>
      </c>
    </row>
    <row r="56">
      <c r="A56" s="11" t="n">
        <v>46118</v>
      </c>
      <c r="B56" s="9" t="n">
        <v>4318231756</v>
      </c>
      <c r="C56" s="9" t="n">
        <v>78080000</v>
      </c>
      <c r="D56" s="9" t="n">
        <v>0</v>
      </c>
      <c r="E56" s="9" t="n">
        <v>7718000000</v>
      </c>
      <c r="F56" s="9" t="n">
        <v>0</v>
      </c>
      <c r="G56" s="9" t="n">
        <v>4153100000</v>
      </c>
      <c r="H56" s="9" t="n">
        <v>468480000</v>
      </c>
      <c r="I56" s="9" t="n">
        <v>6002500000</v>
      </c>
      <c r="J56" s="9" t="n">
        <v>0</v>
      </c>
      <c r="K56" s="9" t="n">
        <v>0</v>
      </c>
      <c r="L56" s="9" t="n">
        <v>8471331756</v>
      </c>
      <c r="M56" s="9" t="n">
        <v>546560000</v>
      </c>
      <c r="N56" s="9" t="n">
        <v>6002500000</v>
      </c>
      <c r="O56" s="9" t="n">
        <v>7718000000</v>
      </c>
      <c r="P56" s="9" t="n">
        <v>0</v>
      </c>
      <c r="Q56" s="9" t="n">
        <v>27394.845</v>
      </c>
      <c r="R56" s="9" t="n">
        <v>495.3393</v>
      </c>
      <c r="S56" s="9" t="n">
        <v>0</v>
      </c>
      <c r="T56" s="9" t="n">
        <v>48962.6684</v>
      </c>
      <c r="U56" s="9" t="n">
        <v>0</v>
      </c>
      <c r="V56" s="9" t="n">
        <v>26347.1957</v>
      </c>
      <c r="W56" s="9" t="n">
        <v>2972.0358</v>
      </c>
      <c r="X56" s="9" t="n">
        <v>38079.6083</v>
      </c>
      <c r="Y56" s="9" t="n">
        <v>0</v>
      </c>
      <c r="Z56" s="9" t="n">
        <v>0</v>
      </c>
      <c r="AA56" s="9" t="n">
        <v>53742.0407</v>
      </c>
      <c r="AB56" s="9" t="n">
        <v>3467.3751</v>
      </c>
      <c r="AC56" s="9" t="n">
        <v>38079.6083</v>
      </c>
      <c r="AD56" s="9" t="n">
        <v>48962.6684</v>
      </c>
      <c r="AE56" s="9" t="n">
        <v>0</v>
      </c>
      <c r="AF56" s="9" t="n">
        <v>68232</v>
      </c>
      <c r="AG56" s="9" t="n">
        <v>157630.5</v>
      </c>
      <c r="AH56" s="9" t="n">
        <v>156160</v>
      </c>
      <c r="AI56" s="9" t="n">
        <v>184850000</v>
      </c>
      <c r="AJ56" s="9" t="n">
        <v>98750000</v>
      </c>
      <c r="AK56" s="9" t="n">
        <v>57500000</v>
      </c>
      <c r="AL56" s="9" t="n">
        <v>49991128</v>
      </c>
      <c r="AM56" s="9" t="n">
        <v>30000000</v>
      </c>
      <c r="AN56" s="9" t="n">
        <v>70000000</v>
      </c>
      <c r="AO56" s="9" t="n">
        <v>28800000</v>
      </c>
      <c r="AP56" s="9" t="n">
        <v>18110300</v>
      </c>
      <c r="AQ56" s="9" t="n">
        <v>2401</v>
      </c>
      <c r="AR56" s="9" t="n">
        <v>181035</v>
      </c>
      <c r="AS56" s="9" t="n">
        <v>4662</v>
      </c>
    </row>
    <row r="57">
      <c r="A57" s="11" t="n">
        <v>46119</v>
      </c>
      <c r="B57" s="9" t="n">
        <v>4424144962</v>
      </c>
      <c r="C57" s="9" t="n">
        <v>80210000</v>
      </c>
      <c r="D57" s="9" t="n">
        <v>0</v>
      </c>
      <c r="E57" s="9" t="n">
        <v>7718000000</v>
      </c>
      <c r="F57" s="9" t="n">
        <v>0</v>
      </c>
      <c r="G57" s="9" t="n">
        <v>4268500000</v>
      </c>
      <c r="H57" s="9" t="n">
        <v>481260000</v>
      </c>
      <c r="I57" s="9" t="n">
        <v>6002500000</v>
      </c>
      <c r="J57" s="9" t="n">
        <v>0</v>
      </c>
      <c r="K57" s="9" t="n">
        <v>0</v>
      </c>
      <c r="L57" s="9" t="n">
        <v>8692644962</v>
      </c>
      <c r="M57" s="9" t="n">
        <v>561470000</v>
      </c>
      <c r="N57" s="9" t="n">
        <v>6002500000</v>
      </c>
      <c r="O57" s="9" t="n">
        <v>7718000000</v>
      </c>
      <c r="P57" s="9" t="n">
        <v>0</v>
      </c>
      <c r="Q57" s="9" t="n">
        <v>27840.4157</v>
      </c>
      <c r="R57" s="9" t="n">
        <v>504.7484</v>
      </c>
      <c r="S57" s="9" t="n">
        <v>0</v>
      </c>
      <c r="T57" s="9" t="n">
        <v>48568.0112</v>
      </c>
      <c r="U57" s="9" t="n">
        <v>0</v>
      </c>
      <c r="V57" s="9" t="n">
        <v>26860.9467</v>
      </c>
      <c r="W57" s="9" t="n">
        <v>3028.4903</v>
      </c>
      <c r="X57" s="9" t="n">
        <v>37772.6726</v>
      </c>
      <c r="Y57" s="9" t="n">
        <v>0</v>
      </c>
      <c r="Z57" s="9" t="n">
        <v>0</v>
      </c>
      <c r="AA57" s="9" t="n">
        <v>54701.3624</v>
      </c>
      <c r="AB57" s="9" t="n">
        <v>3533.2387</v>
      </c>
      <c r="AC57" s="9" t="n">
        <v>37772.6726</v>
      </c>
      <c r="AD57" s="9" t="n">
        <v>48568.0112</v>
      </c>
      <c r="AE57" s="9" t="n">
        <v>0</v>
      </c>
      <c r="AF57" s="9" t="n">
        <v>68103.5</v>
      </c>
      <c r="AG57" s="9" t="n">
        <v>158911.5</v>
      </c>
      <c r="AH57" s="9" t="n">
        <v>160420</v>
      </c>
      <c r="AI57" s="9" t="n">
        <v>190250000</v>
      </c>
      <c r="AJ57" s="9" t="n">
        <v>100000000</v>
      </c>
      <c r="AK57" s="9" t="n">
        <v>57750000</v>
      </c>
      <c r="AL57" s="9" t="n">
        <v>50208481</v>
      </c>
      <c r="AM57" s="9" t="n">
        <v>30000000</v>
      </c>
      <c r="AN57" s="9" t="n">
        <v>70000000</v>
      </c>
      <c r="AO57" s="9" t="n">
        <v>29275000</v>
      </c>
      <c r="AP57" s="9" t="n">
        <v>18693200</v>
      </c>
      <c r="AQ57" s="9" t="n">
        <v>2401</v>
      </c>
      <c r="AR57" s="9" t="n">
        <v>182452.5</v>
      </c>
      <c r="AS57" s="9" t="n">
        <v>4654.5</v>
      </c>
    </row>
    <row r="58">
      <c r="A58" s="11" t="n">
        <v>46120</v>
      </c>
      <c r="B58" s="9" t="n">
        <v>4348972551</v>
      </c>
      <c r="C58" s="9" t="n">
        <v>75250000</v>
      </c>
      <c r="D58" s="9" t="n">
        <v>0</v>
      </c>
      <c r="E58" s="9" t="n">
        <v>7718000000</v>
      </c>
      <c r="F58" s="9" t="n">
        <v>0</v>
      </c>
      <c r="G58" s="9" t="n">
        <v>4214750000</v>
      </c>
      <c r="H58" s="9" t="n">
        <v>451500000</v>
      </c>
      <c r="I58" s="9" t="n">
        <v>6002500000</v>
      </c>
      <c r="J58" s="9" t="n">
        <v>0</v>
      </c>
      <c r="K58" s="9" t="n">
        <v>0</v>
      </c>
      <c r="L58" s="9" t="n">
        <v>8563722551</v>
      </c>
      <c r="M58" s="9" t="n">
        <v>526750000</v>
      </c>
      <c r="N58" s="9" t="n">
        <v>6002500000</v>
      </c>
      <c r="O58" s="9" t="n">
        <v>7718000000</v>
      </c>
      <c r="P58" s="9" t="n">
        <v>0</v>
      </c>
      <c r="Q58" s="9" t="n">
        <v>28752.9943</v>
      </c>
      <c r="R58" s="9" t="n">
        <v>497.4265</v>
      </c>
      <c r="S58" s="9" t="n">
        <v>0</v>
      </c>
      <c r="T58" s="9" t="n">
        <v>51022.024</v>
      </c>
      <c r="U58" s="9" t="n">
        <v>0</v>
      </c>
      <c r="V58" s="9" t="n">
        <v>27866.0195</v>
      </c>
      <c r="W58" s="9" t="n">
        <v>2984.5592</v>
      </c>
      <c r="X58" s="9" t="n">
        <v>39681.2256</v>
      </c>
      <c r="Y58" s="9" t="n">
        <v>0</v>
      </c>
      <c r="Z58" s="9" t="n">
        <v>0</v>
      </c>
      <c r="AA58" s="9" t="n">
        <v>56619.0138</v>
      </c>
      <c r="AB58" s="9" t="n">
        <v>3481.9858</v>
      </c>
      <c r="AC58" s="9" t="n">
        <v>39681.2256</v>
      </c>
      <c r="AD58" s="9" t="n">
        <v>51022.024</v>
      </c>
      <c r="AE58" s="9" t="n">
        <v>0</v>
      </c>
      <c r="AF58" s="9" t="n">
        <v>71988.5</v>
      </c>
      <c r="AG58" s="9" t="n">
        <v>151275.5</v>
      </c>
      <c r="AH58" s="9" t="n">
        <v>150500</v>
      </c>
      <c r="AI58" s="9" t="n">
        <v>187750000</v>
      </c>
      <c r="AJ58" s="9" t="n">
        <v>100250000</v>
      </c>
      <c r="AK58" s="9" t="n">
        <v>57250000</v>
      </c>
      <c r="AL58" s="9" t="n">
        <v>49773775.5</v>
      </c>
      <c r="AM58" s="9" t="n">
        <v>30000000</v>
      </c>
      <c r="AN58" s="9" t="n">
        <v>70000000</v>
      </c>
      <c r="AO58" s="9" t="n">
        <v>28750000</v>
      </c>
      <c r="AP58" s="9" t="n">
        <v>18295000</v>
      </c>
      <c r="AQ58" s="9" t="n">
        <v>2401</v>
      </c>
      <c r="AR58" s="9" t="n">
        <v>182490</v>
      </c>
      <c r="AS58" s="9" t="n">
        <v>4814</v>
      </c>
    </row>
    <row r="59">
      <c r="A59" s="11" t="n">
        <v>46121</v>
      </c>
      <c r="B59" s="9" t="n">
        <v>4308897605</v>
      </c>
      <c r="C59" s="9" t="n">
        <v>76322500</v>
      </c>
      <c r="D59" s="9" t="n">
        <v>0</v>
      </c>
      <c r="E59" s="9" t="n">
        <v>7718000000</v>
      </c>
      <c r="F59" s="9" t="n">
        <v>0</v>
      </c>
      <c r="G59" s="9" t="n">
        <v>4176500000</v>
      </c>
      <c r="H59" s="9" t="n">
        <v>457935000</v>
      </c>
      <c r="I59" s="9" t="n">
        <v>6002500000</v>
      </c>
      <c r="J59" s="9" t="n">
        <v>0</v>
      </c>
      <c r="K59" s="9" t="n">
        <v>0</v>
      </c>
      <c r="L59" s="9" t="n">
        <v>8485397605</v>
      </c>
      <c r="M59" s="9" t="n">
        <v>534257500</v>
      </c>
      <c r="N59" s="9" t="n">
        <v>6002500000</v>
      </c>
      <c r="O59" s="9" t="n">
        <v>7718000000</v>
      </c>
      <c r="P59" s="9" t="n">
        <v>0</v>
      </c>
      <c r="Q59" s="9" t="n">
        <v>27557.1141</v>
      </c>
      <c r="R59" s="9" t="n">
        <v>488.1116</v>
      </c>
      <c r="S59" s="9" t="n">
        <v>0</v>
      </c>
      <c r="T59" s="9" t="n">
        <v>49359.7481</v>
      </c>
      <c r="U59" s="9" t="n">
        <v>0</v>
      </c>
      <c r="V59" s="9" t="n">
        <v>26710.4206</v>
      </c>
      <c r="W59" s="9" t="n">
        <v>2928.6695</v>
      </c>
      <c r="X59" s="9" t="n">
        <v>38388.4281</v>
      </c>
      <c r="Y59" s="9" t="n">
        <v>0</v>
      </c>
      <c r="Z59" s="9" t="n">
        <v>0</v>
      </c>
      <c r="AA59" s="9" t="n">
        <v>54267.5347</v>
      </c>
      <c r="AB59" s="9" t="n">
        <v>3416.7811</v>
      </c>
      <c r="AC59" s="9" t="n">
        <v>38388.4281</v>
      </c>
      <c r="AD59" s="9" t="n">
        <v>49359.7481</v>
      </c>
      <c r="AE59" s="9" t="n">
        <v>0</v>
      </c>
      <c r="AF59" s="9" t="n">
        <v>71080.5</v>
      </c>
      <c r="AG59" s="9" t="n">
        <v>156362.5</v>
      </c>
      <c r="AH59" s="9" t="n">
        <v>152645</v>
      </c>
      <c r="AI59" s="9" t="n">
        <v>186125000</v>
      </c>
      <c r="AJ59" s="9" t="n">
        <v>99125000</v>
      </c>
      <c r="AK59" s="9" t="n">
        <v>56250000</v>
      </c>
      <c r="AL59" s="9" t="n">
        <v>48904365</v>
      </c>
      <c r="AM59" s="9" t="n">
        <v>30000000</v>
      </c>
      <c r="AN59" s="9" t="n">
        <v>70000000</v>
      </c>
      <c r="AO59" s="9" t="n">
        <v>28000000</v>
      </c>
      <c r="AP59" s="9" t="n">
        <v>18139175</v>
      </c>
      <c r="AQ59" s="9" t="n">
        <v>2401</v>
      </c>
      <c r="AR59" s="9" t="n">
        <v>181012.5</v>
      </c>
      <c r="AS59" s="9" t="n">
        <v>4737.25</v>
      </c>
    </row>
    <row r="60">
      <c r="A60" s="11" t="n">
        <v>46122</v>
      </c>
      <c r="B60" s="9" t="n">
        <v>4283930024</v>
      </c>
      <c r="C60" s="9" t="n">
        <v>76550000</v>
      </c>
      <c r="D60" s="9" t="n">
        <v>0</v>
      </c>
      <c r="E60" s="9" t="n">
        <v>7718000000</v>
      </c>
      <c r="F60" s="9" t="n">
        <v>0</v>
      </c>
      <c r="G60" s="9" t="n">
        <v>4162000000</v>
      </c>
      <c r="H60" s="9" t="n">
        <v>459300000</v>
      </c>
      <c r="I60" s="9" t="n">
        <v>6002500000</v>
      </c>
      <c r="J60" s="9" t="n">
        <v>0</v>
      </c>
      <c r="K60" s="9" t="n">
        <v>0</v>
      </c>
      <c r="L60" s="9" t="n">
        <v>8445930024</v>
      </c>
      <c r="M60" s="9" t="n">
        <v>535850000</v>
      </c>
      <c r="N60" s="9" t="n">
        <v>6002500000</v>
      </c>
      <c r="O60" s="9" t="n">
        <v>7718000000</v>
      </c>
      <c r="P60" s="9" t="n">
        <v>0</v>
      </c>
      <c r="Q60" s="9" t="n">
        <v>27510.5556</v>
      </c>
      <c r="R60" s="9" t="n">
        <v>491.5904</v>
      </c>
      <c r="S60" s="9" t="n">
        <v>0</v>
      </c>
      <c r="T60" s="9" t="n">
        <v>49563.6102</v>
      </c>
      <c r="U60" s="9" t="n">
        <v>0</v>
      </c>
      <c r="V60" s="9" t="n">
        <v>26727.6167</v>
      </c>
      <c r="W60" s="9" t="n">
        <v>2949.5421</v>
      </c>
      <c r="X60" s="9" t="n">
        <v>38546.9772</v>
      </c>
      <c r="Y60" s="9" t="n">
        <v>0</v>
      </c>
      <c r="Z60" s="9" t="n">
        <v>0</v>
      </c>
      <c r="AA60" s="9" t="n">
        <v>54238.1723</v>
      </c>
      <c r="AB60" s="9" t="n">
        <v>3441.1325</v>
      </c>
      <c r="AC60" s="9" t="n">
        <v>38546.9772</v>
      </c>
      <c r="AD60" s="9" t="n">
        <v>49563.6102</v>
      </c>
      <c r="AE60" s="9" t="n">
        <v>0</v>
      </c>
      <c r="AF60" s="9" t="n">
        <v>72108.5</v>
      </c>
      <c r="AG60" s="9" t="n">
        <v>155720.5</v>
      </c>
      <c r="AH60" s="9" t="n">
        <v>153100</v>
      </c>
      <c r="AI60" s="9" t="n">
        <v>185500000</v>
      </c>
      <c r="AJ60" s="9" t="n">
        <v>98500000</v>
      </c>
      <c r="AK60" s="9" t="n">
        <v>56000000</v>
      </c>
      <c r="AL60" s="9" t="n">
        <v>48687012</v>
      </c>
      <c r="AM60" s="9" t="n">
        <v>30000000</v>
      </c>
      <c r="AN60" s="9" t="n">
        <v>70000000</v>
      </c>
      <c r="AO60" s="9" t="n">
        <v>28000000</v>
      </c>
      <c r="AP60" s="9" t="n">
        <v>18006400</v>
      </c>
      <c r="AQ60" s="9" t="n">
        <v>2401</v>
      </c>
      <c r="AR60" s="9" t="n">
        <v>182970</v>
      </c>
      <c r="AS60" s="9" t="n">
        <v>4760.5</v>
      </c>
    </row>
    <row r="61">
      <c r="A61" s="11" t="n">
        <v>46123</v>
      </c>
      <c r="B61" s="9" t="n">
        <v>4151488264</v>
      </c>
      <c r="C61" s="9" t="n">
        <v>74750000</v>
      </c>
      <c r="D61" s="9" t="n">
        <v>0</v>
      </c>
      <c r="E61" s="9" t="n">
        <v>7718000000</v>
      </c>
      <c r="F61" s="9" t="n">
        <v>0</v>
      </c>
      <c r="G61" s="9" t="n">
        <v>4019500000</v>
      </c>
      <c r="H61" s="9" t="n">
        <v>448500000</v>
      </c>
      <c r="I61" s="9" t="n">
        <v>6002500000</v>
      </c>
      <c r="J61" s="9" t="n">
        <v>0</v>
      </c>
      <c r="K61" s="9" t="n">
        <v>0</v>
      </c>
      <c r="L61" s="9" t="n">
        <v>8170988264</v>
      </c>
      <c r="M61" s="9" t="n">
        <v>523250000</v>
      </c>
      <c r="N61" s="9" t="n">
        <v>6002500000</v>
      </c>
      <c r="O61" s="9" t="n">
        <v>7718000000</v>
      </c>
      <c r="P61" s="9" t="n">
        <v>0</v>
      </c>
      <c r="Q61" s="9" t="n">
        <v>27169.3143</v>
      </c>
      <c r="R61" s="9" t="n">
        <v>489.208</v>
      </c>
      <c r="S61" s="9" t="n">
        <v>0</v>
      </c>
      <c r="T61" s="9" t="n">
        <v>50512.0228</v>
      </c>
      <c r="U61" s="9" t="n">
        <v>0</v>
      </c>
      <c r="V61" s="9" t="n">
        <v>26305.442</v>
      </c>
      <c r="W61" s="9" t="n">
        <v>2935.2482</v>
      </c>
      <c r="X61" s="9" t="n">
        <v>39284.5837</v>
      </c>
      <c r="Y61" s="9" t="n">
        <v>0</v>
      </c>
      <c r="Z61" s="9" t="n">
        <v>0</v>
      </c>
      <c r="AA61" s="9" t="n">
        <v>53474.7563</v>
      </c>
      <c r="AB61" s="9" t="n">
        <v>3424.4562</v>
      </c>
      <c r="AC61" s="9" t="n">
        <v>39284.5837</v>
      </c>
      <c r="AD61" s="9" t="n">
        <v>50512.0228</v>
      </c>
      <c r="AE61" s="9" t="n">
        <v>0</v>
      </c>
      <c r="AF61" s="9" t="n">
        <v>72784.5</v>
      </c>
      <c r="AG61" s="9" t="n">
        <v>152799.5</v>
      </c>
      <c r="AH61" s="9" t="n">
        <v>149500</v>
      </c>
      <c r="AI61" s="9" t="n">
        <v>179250000</v>
      </c>
      <c r="AJ61" s="9" t="n">
        <v>95500000</v>
      </c>
      <c r="AK61" s="9" t="n">
        <v>53250000</v>
      </c>
      <c r="AL61" s="9" t="n">
        <v>46296132</v>
      </c>
      <c r="AM61" s="9" t="n">
        <v>30000000</v>
      </c>
      <c r="AN61" s="9" t="n">
        <v>70000000</v>
      </c>
      <c r="AO61" s="9" t="n">
        <v>26000000</v>
      </c>
      <c r="AP61" s="9" t="n">
        <v>17452400</v>
      </c>
      <c r="AQ61" s="9" t="n">
        <v>2401</v>
      </c>
      <c r="AR61" s="9" t="n">
        <v>180150</v>
      </c>
      <c r="AS61" s="9" t="n">
        <v>4748</v>
      </c>
    </row>
    <row r="62">
      <c r="A62" s="11" t="n">
        <v>46124</v>
      </c>
      <c r="B62" s="9" t="n">
        <v>4231835372</v>
      </c>
      <c r="C62" s="9" t="n">
        <v>77312500</v>
      </c>
      <c r="D62" s="9" t="n">
        <v>0</v>
      </c>
      <c r="E62" s="9" t="n">
        <v>7718000000</v>
      </c>
      <c r="F62" s="9" t="n">
        <v>0</v>
      </c>
      <c r="G62" s="9" t="n">
        <v>4068875000</v>
      </c>
      <c r="H62" s="9" t="n">
        <v>463875000</v>
      </c>
      <c r="I62" s="9" t="n">
        <v>6002500000</v>
      </c>
      <c r="J62" s="9" t="n">
        <v>0</v>
      </c>
      <c r="K62" s="9" t="n">
        <v>0</v>
      </c>
      <c r="L62" s="9" t="n">
        <v>8300710372</v>
      </c>
      <c r="M62" s="9" t="n">
        <v>541187500</v>
      </c>
      <c r="N62" s="9" t="n">
        <v>6002500000</v>
      </c>
      <c r="O62" s="9" t="n">
        <v>7718000000</v>
      </c>
      <c r="P62" s="9" t="n">
        <v>0</v>
      </c>
      <c r="Q62" s="9" t="n">
        <v>26797.8875</v>
      </c>
      <c r="R62" s="9" t="n">
        <v>489.57</v>
      </c>
      <c r="S62" s="9" t="n">
        <v>0</v>
      </c>
      <c r="T62" s="9" t="n">
        <v>48875.6981</v>
      </c>
      <c r="U62" s="9" t="n">
        <v>0</v>
      </c>
      <c r="V62" s="9" t="n">
        <v>25766.0033</v>
      </c>
      <c r="W62" s="9" t="n">
        <v>2937.4199</v>
      </c>
      <c r="X62" s="9" t="n">
        <v>38011.9692</v>
      </c>
      <c r="Y62" s="9" t="n">
        <v>0</v>
      </c>
      <c r="Z62" s="9" t="n">
        <v>0</v>
      </c>
      <c r="AA62" s="9" t="n">
        <v>52563.8908</v>
      </c>
      <c r="AB62" s="9" t="n">
        <v>3426.9898</v>
      </c>
      <c r="AC62" s="9" t="n">
        <v>38011.9692</v>
      </c>
      <c r="AD62" s="9" t="n">
        <v>48875.6981</v>
      </c>
      <c r="AE62" s="9" t="n">
        <v>0</v>
      </c>
      <c r="AF62" s="9" t="n">
        <v>71037.25</v>
      </c>
      <c r="AG62" s="9" t="n">
        <v>157912</v>
      </c>
      <c r="AH62" s="9" t="n">
        <v>154625</v>
      </c>
      <c r="AI62" s="9" t="n">
        <v>181375000</v>
      </c>
      <c r="AJ62" s="9" t="n">
        <v>95750000</v>
      </c>
      <c r="AK62" s="9" t="n">
        <v>54750000</v>
      </c>
      <c r="AL62" s="9" t="n">
        <v>47600248.5</v>
      </c>
      <c r="AM62" s="9" t="n">
        <v>30000000</v>
      </c>
      <c r="AN62" s="9" t="n">
        <v>70000000</v>
      </c>
      <c r="AO62" s="9" t="n">
        <v>27500000</v>
      </c>
      <c r="AP62" s="9" t="n">
        <v>17801575</v>
      </c>
      <c r="AQ62" s="9" t="n">
        <v>2401</v>
      </c>
      <c r="AR62" s="9" t="n">
        <v>182707.5</v>
      </c>
      <c r="AS62" s="9" t="n">
        <v>4748</v>
      </c>
    </row>
    <row r="63">
      <c r="A63" s="11" t="n">
        <v>46125</v>
      </c>
      <c r="B63" s="9" t="n">
        <v>4255622114</v>
      </c>
      <c r="C63" s="9" t="n">
        <v>79500000</v>
      </c>
      <c r="D63" s="9" t="n">
        <v>0</v>
      </c>
      <c r="E63" s="9" t="n">
        <v>7718000000</v>
      </c>
      <c r="F63" s="9" t="n">
        <v>0</v>
      </c>
      <c r="G63" s="9" t="n">
        <v>4106000000</v>
      </c>
      <c r="H63" s="9" t="n">
        <v>477000000</v>
      </c>
      <c r="I63" s="9" t="n">
        <v>6002500000</v>
      </c>
      <c r="J63" s="9" t="n">
        <v>0</v>
      </c>
      <c r="K63" s="9" t="n">
        <v>0</v>
      </c>
      <c r="L63" s="9" t="n">
        <v>8361622114</v>
      </c>
      <c r="M63" s="9" t="n">
        <v>556500000</v>
      </c>
      <c r="N63" s="9" t="n">
        <v>6002500000</v>
      </c>
      <c r="O63" s="9" t="n">
        <v>7718000000</v>
      </c>
      <c r="P63" s="9" t="n">
        <v>0</v>
      </c>
      <c r="Q63" s="9" t="n">
        <v>26822.6129</v>
      </c>
      <c r="R63" s="9" t="n">
        <v>501.0778</v>
      </c>
      <c r="S63" s="9" t="n">
        <v>0</v>
      </c>
      <c r="T63" s="9" t="n">
        <v>48645.5143</v>
      </c>
      <c r="U63" s="9" t="n">
        <v>0</v>
      </c>
      <c r="V63" s="9" t="n">
        <v>25879.5649</v>
      </c>
      <c r="W63" s="9" t="n">
        <v>3006.4667</v>
      </c>
      <c r="X63" s="9" t="n">
        <v>37832.9489</v>
      </c>
      <c r="Y63" s="9" t="n">
        <v>0</v>
      </c>
      <c r="Z63" s="9" t="n">
        <v>0</v>
      </c>
      <c r="AA63" s="9" t="n">
        <v>52702.1777</v>
      </c>
      <c r="AB63" s="9" t="n">
        <v>3507.5445</v>
      </c>
      <c r="AC63" s="9" t="n">
        <v>37832.9489</v>
      </c>
      <c r="AD63" s="9" t="n">
        <v>48645.5143</v>
      </c>
      <c r="AE63" s="9" t="n">
        <v>0</v>
      </c>
      <c r="AF63" s="9" t="n">
        <v>70600</v>
      </c>
      <c r="AG63" s="9" t="n">
        <v>158658</v>
      </c>
      <c r="AH63" s="9" t="n">
        <v>159000</v>
      </c>
      <c r="AI63" s="9" t="n">
        <v>183000000</v>
      </c>
      <c r="AJ63" s="9" t="n">
        <v>96500000</v>
      </c>
      <c r="AK63" s="9" t="n">
        <v>55500000</v>
      </c>
      <c r="AL63" s="9" t="n">
        <v>48252307</v>
      </c>
      <c r="AM63" s="9" t="n">
        <v>30000000</v>
      </c>
      <c r="AN63" s="9" t="n">
        <v>70000000</v>
      </c>
      <c r="AO63" s="9" t="n">
        <v>28000000</v>
      </c>
      <c r="AP63" s="9" t="n">
        <v>17879500</v>
      </c>
      <c r="AQ63" s="9" t="n">
        <v>2401</v>
      </c>
      <c r="AR63" s="9" t="n">
        <v>183570</v>
      </c>
      <c r="AS63" s="9" t="n">
        <v>4723</v>
      </c>
    </row>
    <row r="64">
      <c r="A64" s="11" t="n">
        <v>46126</v>
      </c>
      <c r="B64" s="9" t="n">
        <v>4245819398.6667</v>
      </c>
      <c r="C64" s="9" t="n">
        <v>77548333.33329999</v>
      </c>
      <c r="D64" s="9" t="n">
        <v>0</v>
      </c>
      <c r="E64" s="9" t="n">
        <v>7718000000</v>
      </c>
      <c r="F64" s="9" t="n">
        <v>0</v>
      </c>
      <c r="G64" s="9" t="n">
        <v>4103333333.3333</v>
      </c>
      <c r="H64" s="9" t="n">
        <v>465290000</v>
      </c>
      <c r="I64" s="9" t="n">
        <v>6002500000</v>
      </c>
      <c r="J64" s="9" t="n">
        <v>0</v>
      </c>
      <c r="K64" s="9" t="n">
        <v>0</v>
      </c>
      <c r="L64" s="9" t="n">
        <v>8349152732</v>
      </c>
      <c r="M64" s="9" t="n">
        <v>542838333.3333</v>
      </c>
      <c r="N64" s="9" t="n">
        <v>6002500000</v>
      </c>
      <c r="O64" s="9" t="n">
        <v>7718000000</v>
      </c>
      <c r="P64" s="9" t="n">
        <v>0</v>
      </c>
      <c r="Q64" s="9" t="n">
        <v>27172.7753</v>
      </c>
      <c r="R64" s="9" t="n">
        <v>496.3088</v>
      </c>
      <c r="S64" s="9" t="n">
        <v>0</v>
      </c>
      <c r="T64" s="9" t="n">
        <v>49394.9758</v>
      </c>
      <c r="U64" s="9" t="n">
        <v>0</v>
      </c>
      <c r="V64" s="9" t="n">
        <v>26261.0074</v>
      </c>
      <c r="W64" s="9" t="n">
        <v>2977.8528</v>
      </c>
      <c r="X64" s="9" t="n">
        <v>38415.8257</v>
      </c>
      <c r="Y64" s="9" t="n">
        <v>0</v>
      </c>
      <c r="Z64" s="9" t="n">
        <v>0</v>
      </c>
      <c r="AA64" s="9" t="n">
        <v>53433.7827</v>
      </c>
      <c r="AB64" s="9" t="n">
        <v>3474.1616</v>
      </c>
      <c r="AC64" s="9" t="n">
        <v>38415.8257</v>
      </c>
      <c r="AD64" s="9" t="n">
        <v>49394.9758</v>
      </c>
      <c r="AE64" s="9" t="n">
        <v>0</v>
      </c>
      <c r="AF64" s="9" t="n">
        <v>74356.3333</v>
      </c>
      <c r="AG64" s="9" t="n">
        <v>156252.3333</v>
      </c>
      <c r="AH64" s="9" t="n">
        <v>155096.6667</v>
      </c>
      <c r="AI64" s="9" t="n">
        <v>183000000</v>
      </c>
      <c r="AJ64" s="9" t="n">
        <v>95833333.33329999</v>
      </c>
      <c r="AK64" s="9" t="n">
        <v>54833333.3333</v>
      </c>
      <c r="AL64" s="9" t="n">
        <v>47672699.3333</v>
      </c>
      <c r="AM64" s="9" t="n">
        <v>30000000</v>
      </c>
      <c r="AN64" s="9" t="n">
        <v>70000000</v>
      </c>
      <c r="AO64" s="9" t="n">
        <v>27333333.3333</v>
      </c>
      <c r="AP64" s="9" t="n">
        <v>17875600</v>
      </c>
      <c r="AQ64" s="9" t="n">
        <v>2401</v>
      </c>
      <c r="AR64" s="9" t="n">
        <v>186096.6667</v>
      </c>
      <c r="AS64" s="9" t="n">
        <v>4790</v>
      </c>
    </row>
    <row r="65">
      <c r="A65" s="11" t="n">
        <v>46127</v>
      </c>
      <c r="B65" s="9" t="n">
        <v>4163243853</v>
      </c>
      <c r="C65" s="9" t="n">
        <v>76445000</v>
      </c>
      <c r="D65" s="9" t="n">
        <v>0</v>
      </c>
      <c r="E65" s="9" t="n">
        <v>7718000000</v>
      </c>
      <c r="F65" s="9" t="n">
        <v>0</v>
      </c>
      <c r="G65" s="9" t="n">
        <v>4021500000</v>
      </c>
      <c r="H65" s="9" t="n">
        <v>458670000</v>
      </c>
      <c r="I65" s="9" t="n">
        <v>6002500000</v>
      </c>
      <c r="J65" s="9" t="n">
        <v>0</v>
      </c>
      <c r="K65" s="9" t="n">
        <v>0</v>
      </c>
      <c r="L65" s="9" t="n">
        <v>8184743853</v>
      </c>
      <c r="M65" s="9" t="n">
        <v>535115000</v>
      </c>
      <c r="N65" s="9" t="n">
        <v>6002500000</v>
      </c>
      <c r="O65" s="9" t="n">
        <v>7718000000</v>
      </c>
      <c r="P65" s="9" t="n">
        <v>0</v>
      </c>
      <c r="Q65" s="9" t="n">
        <v>26924.1113</v>
      </c>
      <c r="R65" s="9" t="n">
        <v>494.3794</v>
      </c>
      <c r="S65" s="9" t="n">
        <v>0</v>
      </c>
      <c r="T65" s="9" t="n">
        <v>49913.3566</v>
      </c>
      <c r="U65" s="9" t="n">
        <v>0</v>
      </c>
      <c r="V65" s="9" t="n">
        <v>26007.5711</v>
      </c>
      <c r="W65" s="9" t="n">
        <v>2966.2763</v>
      </c>
      <c r="X65" s="9" t="n">
        <v>38818.9846</v>
      </c>
      <c r="Y65" s="9" t="n">
        <v>0</v>
      </c>
      <c r="Z65" s="9" t="n">
        <v>0</v>
      </c>
      <c r="AA65" s="9" t="n">
        <v>52931.6824</v>
      </c>
      <c r="AB65" s="9" t="n">
        <v>3460.6557</v>
      </c>
      <c r="AC65" s="9" t="n">
        <v>38818.9846</v>
      </c>
      <c r="AD65" s="9" t="n">
        <v>49913.3566</v>
      </c>
      <c r="AE65" s="9" t="n">
        <v>0</v>
      </c>
      <c r="AF65" s="9" t="n">
        <v>74160.5</v>
      </c>
      <c r="AG65" s="9" t="n">
        <v>154629</v>
      </c>
      <c r="AH65" s="9" t="n">
        <v>152890</v>
      </c>
      <c r="AI65" s="9" t="n">
        <v>179500000</v>
      </c>
      <c r="AJ65" s="9" t="n">
        <v>93750000</v>
      </c>
      <c r="AK65" s="9" t="n">
        <v>52750000</v>
      </c>
      <c r="AL65" s="9" t="n">
        <v>45861426.5</v>
      </c>
      <c r="AM65" s="9" t="n">
        <v>30000000</v>
      </c>
      <c r="AN65" s="9" t="n">
        <v>70000000</v>
      </c>
      <c r="AO65" s="9" t="n">
        <v>27000000</v>
      </c>
      <c r="AP65" s="9" t="n">
        <v>17527400</v>
      </c>
      <c r="AQ65" s="9" t="n">
        <v>2401</v>
      </c>
      <c r="AR65" s="9" t="n">
        <v>187360</v>
      </c>
      <c r="AS65" s="9" t="n">
        <v>4800.5</v>
      </c>
    </row>
    <row r="66">
      <c r="A66" s="11" t="n">
        <v>46128</v>
      </c>
      <c r="B66" s="9" t="n">
        <v>4173742058</v>
      </c>
      <c r="C66" s="9" t="n">
        <v>76245000</v>
      </c>
      <c r="D66" s="9" t="n">
        <v>0</v>
      </c>
      <c r="E66" s="9" t="n">
        <v>7718000000</v>
      </c>
      <c r="F66" s="9" t="n">
        <v>0</v>
      </c>
      <c r="G66" s="9" t="n">
        <v>4012000000</v>
      </c>
      <c r="H66" s="9" t="n">
        <v>457470000</v>
      </c>
      <c r="I66" s="9" t="n">
        <v>6002500000</v>
      </c>
      <c r="J66" s="9" t="n">
        <v>0</v>
      </c>
      <c r="K66" s="9" t="n">
        <v>0</v>
      </c>
      <c r="L66" s="9" t="n">
        <v>8185742058</v>
      </c>
      <c r="M66" s="9" t="n">
        <v>533715000</v>
      </c>
      <c r="N66" s="9" t="n">
        <v>6002500000</v>
      </c>
      <c r="O66" s="9" t="n">
        <v>7718000000</v>
      </c>
      <c r="P66" s="9" t="n">
        <v>0</v>
      </c>
      <c r="Q66" s="9" t="n">
        <v>27089.7317</v>
      </c>
      <c r="R66" s="9" t="n">
        <v>494.8692</v>
      </c>
      <c r="S66" s="9" t="n">
        <v>0</v>
      </c>
      <c r="T66" s="9" t="n">
        <v>50093.7879</v>
      </c>
      <c r="U66" s="9" t="n">
        <v>0</v>
      </c>
      <c r="V66" s="9" t="n">
        <v>26039.9426</v>
      </c>
      <c r="W66" s="9" t="n">
        <v>2969.2155</v>
      </c>
      <c r="X66" s="9" t="n">
        <v>38959.311</v>
      </c>
      <c r="Y66" s="9" t="n">
        <v>0</v>
      </c>
      <c r="Z66" s="9" t="n">
        <v>0</v>
      </c>
      <c r="AA66" s="9" t="n">
        <v>53129.6744</v>
      </c>
      <c r="AB66" s="9" t="n">
        <v>3464.0847</v>
      </c>
      <c r="AC66" s="9" t="n">
        <v>38959.311</v>
      </c>
      <c r="AD66" s="9" t="n">
        <v>50093.7879</v>
      </c>
      <c r="AE66" s="9" t="n">
        <v>0</v>
      </c>
      <c r="AF66" s="9" t="n">
        <v>73700</v>
      </c>
      <c r="AG66" s="9" t="n">
        <v>154071</v>
      </c>
      <c r="AH66" s="9" t="n">
        <v>152490</v>
      </c>
      <c r="AI66" s="9" t="n">
        <v>179000000</v>
      </c>
      <c r="AJ66" s="9" t="n">
        <v>94000000</v>
      </c>
      <c r="AK66" s="9" t="n">
        <v>53000000</v>
      </c>
      <c r="AL66" s="9" t="n">
        <v>46078779</v>
      </c>
      <c r="AM66" s="9" t="n">
        <v>30000000</v>
      </c>
      <c r="AN66" s="9" t="n">
        <v>70000000</v>
      </c>
      <c r="AO66" s="9" t="n">
        <v>27000000</v>
      </c>
      <c r="AP66" s="9" t="n">
        <v>17579300</v>
      </c>
      <c r="AQ66" s="9" t="n">
        <v>2401</v>
      </c>
      <c r="AR66" s="9" t="n">
        <v>187360</v>
      </c>
      <c r="AS66" s="9" t="n">
        <v>4790</v>
      </c>
    </row>
    <row r="67">
      <c r="A67" s="11" t="n">
        <v>46129</v>
      </c>
      <c r="B67" s="9" t="n">
        <v>4071196933.3333</v>
      </c>
      <c r="C67" s="9" t="n">
        <v>76245000</v>
      </c>
      <c r="D67" s="9" t="n">
        <v>0</v>
      </c>
      <c r="E67" s="9" t="n">
        <v>7718000000</v>
      </c>
      <c r="F67" s="9" t="n">
        <v>0</v>
      </c>
      <c r="G67" s="9" t="n">
        <v>3908666666.6667</v>
      </c>
      <c r="H67" s="9" t="n">
        <v>457470000</v>
      </c>
      <c r="I67" s="9" t="n">
        <v>6002500000</v>
      </c>
      <c r="J67" s="9" t="n">
        <v>0</v>
      </c>
      <c r="K67" s="9" t="n">
        <v>0</v>
      </c>
      <c r="L67" s="9" t="n">
        <v>7979863600</v>
      </c>
      <c r="M67" s="9" t="n">
        <v>533715000</v>
      </c>
      <c r="N67" s="9" t="n">
        <v>6002500000</v>
      </c>
      <c r="O67" s="9" t="n">
        <v>7718000000</v>
      </c>
      <c r="P67" s="9" t="n">
        <v>0</v>
      </c>
      <c r="Q67" s="9" t="n">
        <v>26938.6978</v>
      </c>
      <c r="R67" s="9" t="n">
        <v>504.5768</v>
      </c>
      <c r="S67" s="9" t="n">
        <v>0</v>
      </c>
      <c r="T67" s="9" t="n">
        <v>51076.4524</v>
      </c>
      <c r="U67" s="9" t="n">
        <v>0</v>
      </c>
      <c r="V67" s="9" t="n">
        <v>25862.9571</v>
      </c>
      <c r="W67" s="9" t="n">
        <v>3027.4611</v>
      </c>
      <c r="X67" s="9" t="n">
        <v>39723.5561</v>
      </c>
      <c r="Y67" s="9" t="n">
        <v>0</v>
      </c>
      <c r="Z67" s="9" t="n">
        <v>0</v>
      </c>
      <c r="AA67" s="9" t="n">
        <v>52801.6549</v>
      </c>
      <c r="AB67" s="9" t="n">
        <v>3532.0379</v>
      </c>
      <c r="AC67" s="9" t="n">
        <v>39723.5561</v>
      </c>
      <c r="AD67" s="9" t="n">
        <v>51076.4524</v>
      </c>
      <c r="AE67" s="9" t="n">
        <v>0</v>
      </c>
      <c r="AF67" s="9" t="n">
        <v>76530.3333</v>
      </c>
      <c r="AG67" s="9" t="n">
        <v>151123.6667</v>
      </c>
      <c r="AH67" s="9" t="n">
        <v>152490</v>
      </c>
      <c r="AI67" s="9" t="n">
        <v>174333333.3333</v>
      </c>
      <c r="AJ67" s="9" t="n">
        <v>92166666.66670001</v>
      </c>
      <c r="AK67" s="9" t="n">
        <v>51833333.3333</v>
      </c>
      <c r="AL67" s="9" t="n">
        <v>45064466.6667</v>
      </c>
      <c r="AM67" s="9" t="n">
        <v>30000000</v>
      </c>
      <c r="AN67" s="9" t="n">
        <v>70000000</v>
      </c>
      <c r="AO67" s="9" t="n">
        <v>26000000</v>
      </c>
      <c r="AP67" s="9" t="n">
        <v>17079200</v>
      </c>
      <c r="AQ67" s="9" t="n">
        <v>2401</v>
      </c>
      <c r="AR67" s="9" t="n">
        <v>187360</v>
      </c>
      <c r="AS67" s="9" t="n">
        <v>4835.3333</v>
      </c>
    </row>
    <row r="68">
      <c r="A68" s="11" t="n">
        <v>46130</v>
      </c>
      <c r="B68" s="9" t="n">
        <v>4060337600</v>
      </c>
      <c r="C68" s="9" t="n">
        <v>75013333.33329999</v>
      </c>
      <c r="D68" s="9" t="n">
        <v>0</v>
      </c>
      <c r="E68" s="9" t="n">
        <v>7718000000</v>
      </c>
      <c r="F68" s="9" t="n">
        <v>0</v>
      </c>
      <c r="G68" s="9" t="n">
        <v>3880333333.3333</v>
      </c>
      <c r="H68" s="9" t="n">
        <v>450080000</v>
      </c>
      <c r="I68" s="9" t="n">
        <v>6002500000</v>
      </c>
      <c r="J68" s="9" t="n">
        <v>0</v>
      </c>
      <c r="K68" s="9" t="n">
        <v>0</v>
      </c>
      <c r="L68" s="9" t="n">
        <v>7940670933.3333</v>
      </c>
      <c r="M68" s="9" t="n">
        <v>525093333.3333</v>
      </c>
      <c r="N68" s="9" t="n">
        <v>6002500000</v>
      </c>
      <c r="O68" s="9" t="n">
        <v>7718000000</v>
      </c>
      <c r="P68" s="9" t="n">
        <v>0</v>
      </c>
      <c r="Q68" s="9" t="n">
        <v>26818.8924</v>
      </c>
      <c r="R68" s="9" t="n">
        <v>495.4961</v>
      </c>
      <c r="S68" s="9" t="n">
        <v>0</v>
      </c>
      <c r="T68" s="9" t="n">
        <v>50980.7017</v>
      </c>
      <c r="U68" s="9" t="n">
        <v>0</v>
      </c>
      <c r="V68" s="9" t="n">
        <v>25630.2941</v>
      </c>
      <c r="W68" s="9" t="n">
        <v>2972.9765</v>
      </c>
      <c r="X68" s="9" t="n">
        <v>39649.0881</v>
      </c>
      <c r="Y68" s="9" t="n">
        <v>0</v>
      </c>
      <c r="Z68" s="9" t="n">
        <v>0</v>
      </c>
      <c r="AA68" s="9" t="n">
        <v>52449.1865</v>
      </c>
      <c r="AB68" s="9" t="n">
        <v>3468.4726</v>
      </c>
      <c r="AC68" s="9" t="n">
        <v>39649.0881</v>
      </c>
      <c r="AD68" s="9" t="n">
        <v>50980.7017</v>
      </c>
      <c r="AE68" s="9" t="n">
        <v>0</v>
      </c>
      <c r="AF68" s="9" t="n">
        <v>76644.3333</v>
      </c>
      <c r="AG68" s="9" t="n">
        <v>151403.3333</v>
      </c>
      <c r="AH68" s="9" t="n">
        <v>150026.6667</v>
      </c>
      <c r="AI68" s="9" t="n">
        <v>173000000</v>
      </c>
      <c r="AJ68" s="9" t="n">
        <v>91833333.33329999</v>
      </c>
      <c r="AK68" s="9" t="n">
        <v>51833333.3333</v>
      </c>
      <c r="AL68" s="9" t="n">
        <v>45064466.6667</v>
      </c>
      <c r="AM68" s="9" t="n">
        <v>30000000</v>
      </c>
      <c r="AN68" s="9" t="n">
        <v>70000000</v>
      </c>
      <c r="AO68" s="9" t="n">
        <v>26000000</v>
      </c>
      <c r="AP68" s="9" t="n">
        <v>17021466.6667</v>
      </c>
      <c r="AQ68" s="9" t="n">
        <v>2401</v>
      </c>
      <c r="AR68" s="9" t="n">
        <v>187360</v>
      </c>
      <c r="AS68" s="9" t="n">
        <v>4851</v>
      </c>
    </row>
    <row r="69">
      <c r="A69" s="11" t="n">
        <v>46131</v>
      </c>
      <c r="B69" s="9" t="n">
        <v>4068929031</v>
      </c>
      <c r="C69" s="9" t="n">
        <v>75947500</v>
      </c>
      <c r="D69" s="9" t="n">
        <v>0</v>
      </c>
      <c r="E69" s="9" t="n">
        <v>7718000000</v>
      </c>
      <c r="F69" s="9" t="n">
        <v>0</v>
      </c>
      <c r="G69" s="9" t="n">
        <v>3885250000</v>
      </c>
      <c r="H69" s="9" t="n">
        <v>455685000</v>
      </c>
      <c r="I69" s="9" t="n">
        <v>6002500000</v>
      </c>
      <c r="J69" s="9" t="n">
        <v>0</v>
      </c>
      <c r="K69" s="9" t="n">
        <v>0</v>
      </c>
      <c r="L69" s="9" t="n">
        <v>7954179031</v>
      </c>
      <c r="M69" s="9" t="n">
        <v>531632500</v>
      </c>
      <c r="N69" s="9" t="n">
        <v>6002500000</v>
      </c>
      <c r="O69" s="9" t="n">
        <v>7718000000</v>
      </c>
      <c r="P69" s="9" t="n">
        <v>0</v>
      </c>
      <c r="Q69" s="9" t="n">
        <v>26754.0587</v>
      </c>
      <c r="R69" s="9" t="n">
        <v>499.3742</v>
      </c>
      <c r="S69" s="9" t="n">
        <v>0</v>
      </c>
      <c r="T69" s="9" t="n">
        <v>50749.9088</v>
      </c>
      <c r="U69" s="9" t="n">
        <v>0</v>
      </c>
      <c r="V69" s="9" t="n">
        <v>25546.7014</v>
      </c>
      <c r="W69" s="9" t="n">
        <v>2996.2453</v>
      </c>
      <c r="X69" s="9" t="n">
        <v>39469.5941</v>
      </c>
      <c r="Y69" s="9" t="n">
        <v>0</v>
      </c>
      <c r="Z69" s="9" t="n">
        <v>0</v>
      </c>
      <c r="AA69" s="9" t="n">
        <v>52300.7602</v>
      </c>
      <c r="AB69" s="9" t="n">
        <v>3495.6195</v>
      </c>
      <c r="AC69" s="9" t="n">
        <v>39469.5941</v>
      </c>
      <c r="AD69" s="9" t="n">
        <v>50749.9088</v>
      </c>
      <c r="AE69" s="9" t="n">
        <v>0</v>
      </c>
      <c r="AF69" s="9" t="n">
        <v>75690.5</v>
      </c>
      <c r="AG69" s="9" t="n">
        <v>152086.5</v>
      </c>
      <c r="AH69" s="9" t="n">
        <v>151895</v>
      </c>
      <c r="AI69" s="9" t="n">
        <v>173250000</v>
      </c>
      <c r="AJ69" s="9" t="n">
        <v>91750000</v>
      </c>
      <c r="AK69" s="9" t="n">
        <v>51750000</v>
      </c>
      <c r="AL69" s="9" t="n">
        <v>44992015.5</v>
      </c>
      <c r="AM69" s="9" t="n">
        <v>30000000</v>
      </c>
      <c r="AN69" s="9" t="n">
        <v>70000000</v>
      </c>
      <c r="AO69" s="9" t="n">
        <v>25750000</v>
      </c>
      <c r="AP69" s="9" t="n">
        <v>17083000</v>
      </c>
      <c r="AQ69" s="9" t="n">
        <v>2401</v>
      </c>
      <c r="AR69" s="9" t="n">
        <v>187360</v>
      </c>
      <c r="AS69" s="9" t="n">
        <v>4851</v>
      </c>
    </row>
    <row r="70">
      <c r="A70" s="11" t="n">
        <v>46132</v>
      </c>
      <c r="B70" s="9" t="n">
        <v>4047011855.3333</v>
      </c>
      <c r="C70" s="9" t="n">
        <v>75133333.33329999</v>
      </c>
      <c r="D70" s="9" t="n">
        <v>0</v>
      </c>
      <c r="E70" s="9" t="n">
        <v>7718000000</v>
      </c>
      <c r="F70" s="9" t="n">
        <v>0</v>
      </c>
      <c r="G70" s="9" t="n">
        <v>3875333333.3333</v>
      </c>
      <c r="H70" s="9" t="n">
        <v>450800000</v>
      </c>
      <c r="I70" s="9" t="n">
        <v>6002500000</v>
      </c>
      <c r="J70" s="9" t="n">
        <v>0</v>
      </c>
      <c r="K70" s="9" t="n">
        <v>0</v>
      </c>
      <c r="L70" s="9" t="n">
        <v>7922345188.6667</v>
      </c>
      <c r="M70" s="9" t="n">
        <v>525933333.3333</v>
      </c>
      <c r="N70" s="9" t="n">
        <v>6002500000</v>
      </c>
      <c r="O70" s="9" t="n">
        <v>7718000000</v>
      </c>
      <c r="P70" s="9" t="n">
        <v>0</v>
      </c>
      <c r="Q70" s="9" t="n">
        <v>26770.8968</v>
      </c>
      <c r="R70" s="9" t="n">
        <v>497.0015</v>
      </c>
      <c r="S70" s="9" t="n">
        <v>0</v>
      </c>
      <c r="T70" s="9" t="n">
        <v>51054.4875</v>
      </c>
      <c r="U70" s="9" t="n">
        <v>0</v>
      </c>
      <c r="V70" s="9" t="n">
        <v>25635.0641</v>
      </c>
      <c r="W70" s="9" t="n">
        <v>2982.0088</v>
      </c>
      <c r="X70" s="9" t="n">
        <v>39706.4733</v>
      </c>
      <c r="Y70" s="9" t="n">
        <v>0</v>
      </c>
      <c r="Z70" s="9" t="n">
        <v>0</v>
      </c>
      <c r="AA70" s="9" t="n">
        <v>52405.961</v>
      </c>
      <c r="AB70" s="9" t="n">
        <v>3479.0103</v>
      </c>
      <c r="AC70" s="9" t="n">
        <v>39706.4733</v>
      </c>
      <c r="AD70" s="9" t="n">
        <v>51054.4875</v>
      </c>
      <c r="AE70" s="9" t="n">
        <v>0</v>
      </c>
      <c r="AF70" s="9" t="n">
        <v>76047.6667</v>
      </c>
      <c r="AG70" s="9" t="n">
        <v>151174</v>
      </c>
      <c r="AH70" s="9" t="n">
        <v>150266.6667</v>
      </c>
      <c r="AI70" s="9" t="n">
        <v>172833333.3333</v>
      </c>
      <c r="AJ70" s="9" t="n">
        <v>91833333.33329999</v>
      </c>
      <c r="AK70" s="9" t="n">
        <v>51333333.3333</v>
      </c>
      <c r="AL70" s="9" t="n">
        <v>44629761</v>
      </c>
      <c r="AM70" s="9" t="n">
        <v>30000000</v>
      </c>
      <c r="AN70" s="9" t="n">
        <v>70000000</v>
      </c>
      <c r="AO70" s="9" t="n">
        <v>25833333.3333</v>
      </c>
      <c r="AP70" s="9" t="n">
        <v>16975266.6667</v>
      </c>
      <c r="AQ70" s="9" t="n">
        <v>2401</v>
      </c>
      <c r="AR70" s="9" t="n">
        <v>181260</v>
      </c>
      <c r="AS70" s="9" t="n">
        <v>4811.3333</v>
      </c>
    </row>
    <row r="71">
      <c r="A71" s="11" t="n">
        <v>46133</v>
      </c>
      <c r="B71" s="9" t="n">
        <v>4038182826</v>
      </c>
      <c r="C71" s="9" t="n">
        <v>75610000</v>
      </c>
      <c r="D71" s="9" t="n">
        <v>0</v>
      </c>
      <c r="E71" s="9" t="n">
        <v>7718000000</v>
      </c>
      <c r="F71" s="9" t="n">
        <v>0</v>
      </c>
      <c r="G71" s="9" t="n">
        <v>3869000000</v>
      </c>
      <c r="H71" s="9" t="n">
        <v>453660000</v>
      </c>
      <c r="I71" s="9" t="n">
        <v>6002500000</v>
      </c>
      <c r="J71" s="9" t="n">
        <v>0</v>
      </c>
      <c r="K71" s="9" t="n">
        <v>0</v>
      </c>
      <c r="L71" s="9" t="n">
        <v>7907182826</v>
      </c>
      <c r="M71" s="9" t="n">
        <v>529270000</v>
      </c>
      <c r="N71" s="9" t="n">
        <v>6002500000</v>
      </c>
      <c r="O71" s="9" t="n">
        <v>7718000000</v>
      </c>
      <c r="P71" s="9" t="n">
        <v>0</v>
      </c>
      <c r="Q71" s="9" t="n">
        <v>26718.8679</v>
      </c>
      <c r="R71" s="9" t="n">
        <v>500.2779</v>
      </c>
      <c r="S71" s="9" t="n">
        <v>0</v>
      </c>
      <c r="T71" s="9" t="n">
        <v>51066.589</v>
      </c>
      <c r="U71" s="9" t="n">
        <v>0</v>
      </c>
      <c r="V71" s="9" t="n">
        <v>25599.4601</v>
      </c>
      <c r="W71" s="9" t="n">
        <v>3001.6674</v>
      </c>
      <c r="X71" s="9" t="n">
        <v>39715.885</v>
      </c>
      <c r="Y71" s="9" t="n">
        <v>0</v>
      </c>
      <c r="Z71" s="9" t="n">
        <v>0</v>
      </c>
      <c r="AA71" s="9" t="n">
        <v>52318.328</v>
      </c>
      <c r="AB71" s="9" t="n">
        <v>3501.9453</v>
      </c>
      <c r="AC71" s="9" t="n">
        <v>39715.885</v>
      </c>
      <c r="AD71" s="9" t="n">
        <v>51066.589</v>
      </c>
      <c r="AE71" s="9" t="n">
        <v>0</v>
      </c>
      <c r="AF71" s="9" t="n">
        <v>76196</v>
      </c>
      <c r="AG71" s="9" t="n">
        <v>151136</v>
      </c>
      <c r="AH71" s="9" t="n">
        <v>151220</v>
      </c>
      <c r="AI71" s="9" t="n">
        <v>172500000</v>
      </c>
      <c r="AJ71" s="9" t="n">
        <v>92000000</v>
      </c>
      <c r="AK71" s="9" t="n">
        <v>51500000</v>
      </c>
      <c r="AL71" s="9" t="n">
        <v>44774663</v>
      </c>
      <c r="AM71" s="9" t="n">
        <v>30000000</v>
      </c>
      <c r="AN71" s="9" t="n">
        <v>70000000</v>
      </c>
      <c r="AO71" s="9" t="n">
        <v>26000000</v>
      </c>
      <c r="AP71" s="9" t="n">
        <v>16909900</v>
      </c>
      <c r="AQ71" s="9" t="n">
        <v>2401</v>
      </c>
      <c r="AR71" s="9" t="n">
        <v>177980</v>
      </c>
      <c r="AS71" s="9" t="n">
        <v>4785</v>
      </c>
    </row>
    <row r="72">
      <c r="A72" s="11" t="n">
        <v>46137</v>
      </c>
      <c r="B72" s="9" t="n">
        <v>4102380236</v>
      </c>
      <c r="C72" s="9" t="n">
        <v>77495000</v>
      </c>
      <c r="D72" s="9" t="n">
        <v>0</v>
      </c>
      <c r="E72" s="9" t="n">
        <v>7718000000</v>
      </c>
      <c r="F72" s="9" t="n">
        <v>0</v>
      </c>
      <c r="G72" s="9" t="n">
        <v>3913000000</v>
      </c>
      <c r="H72" s="9" t="n">
        <v>464970000</v>
      </c>
      <c r="I72" s="9" t="n">
        <v>6002500000</v>
      </c>
      <c r="J72" s="9" t="n">
        <v>0</v>
      </c>
      <c r="K72" s="9" t="n">
        <v>0</v>
      </c>
      <c r="L72" s="9" t="n">
        <v>8015380236</v>
      </c>
      <c r="M72" s="9" t="n">
        <v>542465000</v>
      </c>
      <c r="N72" s="9" t="n">
        <v>6002500000</v>
      </c>
      <c r="O72" s="9" t="n">
        <v>7718000000</v>
      </c>
      <c r="P72" s="9" t="n">
        <v>0</v>
      </c>
      <c r="Q72" s="9" t="n">
        <v>26645.5352</v>
      </c>
      <c r="R72" s="9" t="n">
        <v>503.3409</v>
      </c>
      <c r="S72" s="9" t="n">
        <v>0</v>
      </c>
      <c r="T72" s="9" t="n">
        <v>50129.4928</v>
      </c>
      <c r="U72" s="9" t="n">
        <v>0</v>
      </c>
      <c r="V72" s="9" t="n">
        <v>25415.484</v>
      </c>
      <c r="W72" s="9" t="n">
        <v>3020.0454</v>
      </c>
      <c r="X72" s="9" t="n">
        <v>38987.0797</v>
      </c>
      <c r="Y72" s="9" t="n">
        <v>0</v>
      </c>
      <c r="Z72" s="9" t="n">
        <v>0</v>
      </c>
      <c r="AA72" s="9" t="n">
        <v>52061.0192</v>
      </c>
      <c r="AB72" s="9" t="n">
        <v>3523.3863</v>
      </c>
      <c r="AC72" s="9" t="n">
        <v>38987.0797</v>
      </c>
      <c r="AD72" s="9" t="n">
        <v>50129.4928</v>
      </c>
      <c r="AE72" s="9" t="n">
        <v>0</v>
      </c>
      <c r="AF72" s="9" t="n">
        <v>77354.5</v>
      </c>
      <c r="AG72" s="9" t="n">
        <v>153962</v>
      </c>
      <c r="AH72" s="9" t="n">
        <v>154990</v>
      </c>
      <c r="AI72" s="9" t="n">
        <v>174500000</v>
      </c>
      <c r="AJ72" s="9" t="n">
        <v>92500000</v>
      </c>
      <c r="AK72" s="9" t="n">
        <v>52000000</v>
      </c>
      <c r="AL72" s="9" t="n">
        <v>45209368</v>
      </c>
      <c r="AM72" s="9" t="n">
        <v>30000000</v>
      </c>
      <c r="AN72" s="9" t="n">
        <v>70000000</v>
      </c>
      <c r="AO72" s="9" t="n">
        <v>27000000</v>
      </c>
      <c r="AP72" s="9" t="n">
        <v>17233100</v>
      </c>
      <c r="AQ72" s="9" t="n">
        <v>2401</v>
      </c>
      <c r="AR72" s="9" t="n">
        <v>182910</v>
      </c>
      <c r="AS72" s="9" t="n">
        <v>4708</v>
      </c>
    </row>
    <row r="73">
      <c r="A73" s="11" t="n">
        <v>46139</v>
      </c>
      <c r="B73" s="9" t="n">
        <v>4202480470</v>
      </c>
      <c r="C73" s="9" t="n">
        <v>79145000</v>
      </c>
      <c r="D73" s="9" t="n">
        <v>0</v>
      </c>
      <c r="E73" s="9" t="n">
        <v>7718000000</v>
      </c>
      <c r="F73" s="9" t="n">
        <v>0</v>
      </c>
      <c r="G73" s="9" t="n">
        <v>4034500000</v>
      </c>
      <c r="H73" s="9" t="n">
        <v>474870000</v>
      </c>
      <c r="I73" s="9" t="n">
        <v>6002500000</v>
      </c>
      <c r="J73" s="9" t="n">
        <v>0</v>
      </c>
      <c r="K73" s="9" t="n">
        <v>0</v>
      </c>
      <c r="L73" s="9" t="n">
        <v>8236980470</v>
      </c>
      <c r="M73" s="9" t="n">
        <v>554015000</v>
      </c>
      <c r="N73" s="9" t="n">
        <v>6002500000</v>
      </c>
      <c r="O73" s="9" t="n">
        <v>7718000000</v>
      </c>
      <c r="P73" s="9" t="n">
        <v>0</v>
      </c>
      <c r="Q73" s="9" t="n">
        <v>26488.8369</v>
      </c>
      <c r="R73" s="9" t="n">
        <v>498.8623</v>
      </c>
      <c r="S73" s="9" t="n">
        <v>0</v>
      </c>
      <c r="T73" s="9" t="n">
        <v>48647.6606</v>
      </c>
      <c r="U73" s="9" t="n">
        <v>0</v>
      </c>
      <c r="V73" s="9" t="n">
        <v>25430.032</v>
      </c>
      <c r="W73" s="9" t="n">
        <v>2993.1737</v>
      </c>
      <c r="X73" s="9" t="n">
        <v>37834.6181</v>
      </c>
      <c r="Y73" s="9" t="n">
        <v>0</v>
      </c>
      <c r="Z73" s="9" t="n">
        <v>0</v>
      </c>
      <c r="AA73" s="9" t="n">
        <v>51918.8689</v>
      </c>
      <c r="AB73" s="9" t="n">
        <v>3492.036</v>
      </c>
      <c r="AC73" s="9" t="n">
        <v>37834.6181</v>
      </c>
      <c r="AD73" s="9" t="n">
        <v>48647.6606</v>
      </c>
      <c r="AE73" s="9" t="n">
        <v>0</v>
      </c>
      <c r="AF73" s="9" t="n">
        <v>76750</v>
      </c>
      <c r="AG73" s="9" t="n">
        <v>158651</v>
      </c>
      <c r="AH73" s="9" t="n">
        <v>158290</v>
      </c>
      <c r="AI73" s="9" t="n">
        <v>180000000</v>
      </c>
      <c r="AJ73" s="9" t="n">
        <v>94000000</v>
      </c>
      <c r="AK73" s="9" t="n">
        <v>53500000</v>
      </c>
      <c r="AL73" s="9" t="n">
        <v>46513485</v>
      </c>
      <c r="AM73" s="9" t="n">
        <v>30000000</v>
      </c>
      <c r="AN73" s="9" t="n">
        <v>70000000</v>
      </c>
      <c r="AO73" s="9" t="n">
        <v>27000000</v>
      </c>
      <c r="AP73" s="9" t="n">
        <v>17717900</v>
      </c>
      <c r="AQ73" s="9" t="n">
        <v>2401</v>
      </c>
      <c r="AR73" s="9" t="n">
        <v>186560</v>
      </c>
      <c r="AS73" s="9" t="n">
        <v>4682</v>
      </c>
    </row>
    <row r="74">
      <c r="A74" s="11" t="n">
        <v>46140</v>
      </c>
      <c r="B74" s="9" t="n">
        <v>4208189470</v>
      </c>
      <c r="C74" s="9" t="n">
        <v>80245000</v>
      </c>
      <c r="D74" s="9" t="n">
        <v>0</v>
      </c>
      <c r="E74" s="9" t="n">
        <v>7718000000</v>
      </c>
      <c r="F74" s="9" t="n">
        <v>0</v>
      </c>
      <c r="G74" s="9" t="n">
        <v>4034500000</v>
      </c>
      <c r="H74" s="9" t="n">
        <v>481470000</v>
      </c>
      <c r="I74" s="9" t="n">
        <v>6002500000</v>
      </c>
      <c r="J74" s="9" t="n">
        <v>0</v>
      </c>
      <c r="K74" s="9" t="n">
        <v>0</v>
      </c>
      <c r="L74" s="9" t="n">
        <v>8242689470</v>
      </c>
      <c r="M74" s="9" t="n">
        <v>561715000</v>
      </c>
      <c r="N74" s="9" t="n">
        <v>6002500000</v>
      </c>
      <c r="O74" s="9" t="n">
        <v>7718000000</v>
      </c>
      <c r="P74" s="9" t="n">
        <v>0</v>
      </c>
      <c r="Q74" s="9" t="n">
        <v>26320.1018</v>
      </c>
      <c r="R74" s="9" t="n">
        <v>501.892</v>
      </c>
      <c r="S74" s="9" t="n">
        <v>0</v>
      </c>
      <c r="T74" s="9" t="n">
        <v>48272.1956</v>
      </c>
      <c r="U74" s="9" t="n">
        <v>0</v>
      </c>
      <c r="V74" s="9" t="n">
        <v>25233.7618</v>
      </c>
      <c r="W74" s="9" t="n">
        <v>3011.3519</v>
      </c>
      <c r="X74" s="9" t="n">
        <v>37542.6088</v>
      </c>
      <c r="Y74" s="9" t="n">
        <v>0</v>
      </c>
      <c r="Z74" s="9" t="n">
        <v>0</v>
      </c>
      <c r="AA74" s="9" t="n">
        <v>51553.8635</v>
      </c>
      <c r="AB74" s="9" t="n">
        <v>3513.2439</v>
      </c>
      <c r="AC74" s="9" t="n">
        <v>37542.6088</v>
      </c>
      <c r="AD74" s="9" t="n">
        <v>48272.1956</v>
      </c>
      <c r="AE74" s="9" t="n">
        <v>0</v>
      </c>
      <c r="AF74" s="9" t="n">
        <v>76988</v>
      </c>
      <c r="AG74" s="9" t="n">
        <v>159885</v>
      </c>
      <c r="AH74" s="9" t="n">
        <v>160490</v>
      </c>
      <c r="AI74" s="9" t="n">
        <v>180000000</v>
      </c>
      <c r="AJ74" s="9" t="n">
        <v>94000000</v>
      </c>
      <c r="AK74" s="9" t="n">
        <v>53500000</v>
      </c>
      <c r="AL74" s="9" t="n">
        <v>46513485</v>
      </c>
      <c r="AM74" s="9" t="n">
        <v>30000000</v>
      </c>
      <c r="AN74" s="9" t="n">
        <v>70000000</v>
      </c>
      <c r="AO74" s="9" t="n">
        <v>27000000</v>
      </c>
      <c r="AP74" s="9" t="n">
        <v>17752500</v>
      </c>
      <c r="AQ74" s="9" t="n">
        <v>2401</v>
      </c>
      <c r="AR74" s="9" t="n">
        <v>186560</v>
      </c>
      <c r="AS74" s="9" t="n">
        <v>4634</v>
      </c>
    </row>
    <row r="75">
      <c r="A75" s="11" t="n">
        <v>46141</v>
      </c>
      <c r="B75" s="9" t="n">
        <v>4688902960</v>
      </c>
      <c r="C75" s="9" t="n">
        <v>86581666.66670001</v>
      </c>
      <c r="D75" s="9" t="n">
        <v>0</v>
      </c>
      <c r="E75" s="9" t="n">
        <v>7718000000</v>
      </c>
      <c r="F75" s="9" t="n">
        <v>0</v>
      </c>
      <c r="G75" s="9" t="n">
        <v>4547666666.6667</v>
      </c>
      <c r="H75" s="9" t="n">
        <v>519490000</v>
      </c>
      <c r="I75" s="9" t="n">
        <v>6002500000</v>
      </c>
      <c r="J75" s="9" t="n">
        <v>0</v>
      </c>
      <c r="K75" s="9" t="n">
        <v>0</v>
      </c>
      <c r="L75" s="9" t="n">
        <v>9236569626.6667</v>
      </c>
      <c r="M75" s="9" t="n">
        <v>606071666.6667</v>
      </c>
      <c r="N75" s="9" t="n">
        <v>6002500000</v>
      </c>
      <c r="O75" s="9" t="n">
        <v>7718000000</v>
      </c>
      <c r="P75" s="9" t="n">
        <v>0</v>
      </c>
      <c r="Q75" s="9" t="n">
        <v>26571.8648</v>
      </c>
      <c r="R75" s="9" t="n">
        <v>490.6523</v>
      </c>
      <c r="S75" s="9" t="n">
        <v>0</v>
      </c>
      <c r="T75" s="9" t="n">
        <v>43738.0084</v>
      </c>
      <c r="U75" s="9" t="n">
        <v>0</v>
      </c>
      <c r="V75" s="9" t="n">
        <v>25771.3124</v>
      </c>
      <c r="W75" s="9" t="n">
        <v>2943.9139</v>
      </c>
      <c r="X75" s="9" t="n">
        <v>34016.2471</v>
      </c>
      <c r="Y75" s="9" t="n">
        <v>0</v>
      </c>
      <c r="Z75" s="9" t="n">
        <v>0</v>
      </c>
      <c r="AA75" s="9" t="n">
        <v>52343.1772</v>
      </c>
      <c r="AB75" s="9" t="n">
        <v>3434.5663</v>
      </c>
      <c r="AC75" s="9" t="n">
        <v>34016.2471</v>
      </c>
      <c r="AD75" s="9" t="n">
        <v>43738.0084</v>
      </c>
      <c r="AE75" s="9" t="n">
        <v>0</v>
      </c>
      <c r="AF75" s="9" t="n">
        <v>76468</v>
      </c>
      <c r="AG75" s="9" t="n">
        <v>176460</v>
      </c>
      <c r="AH75" s="9" t="n">
        <v>173163.3333</v>
      </c>
      <c r="AI75" s="9" t="n">
        <v>203166666.6667</v>
      </c>
      <c r="AJ75" s="9" t="n">
        <v>103666666.6667</v>
      </c>
      <c r="AK75" s="9" t="n">
        <v>59166666.6667</v>
      </c>
      <c r="AL75" s="9" t="n">
        <v>51440146.6667</v>
      </c>
      <c r="AM75" s="9" t="n">
        <v>30000000</v>
      </c>
      <c r="AN75" s="9" t="n">
        <v>70000000</v>
      </c>
      <c r="AO75" s="9" t="n">
        <v>29666666.6667</v>
      </c>
      <c r="AP75" s="9" t="n">
        <v>20126400</v>
      </c>
      <c r="AQ75" s="9" t="n">
        <v>2401</v>
      </c>
      <c r="AR75" s="9" t="n">
        <v>194340</v>
      </c>
      <c r="AS75" s="9" t="n">
        <v>4556.6667</v>
      </c>
    </row>
    <row r="76">
      <c r="A76" s="11" t="n">
        <v>46143</v>
      </c>
      <c r="B76" s="9" t="n">
        <v>4561363024</v>
      </c>
      <c r="C76" s="9" t="n">
        <v>86745000</v>
      </c>
      <c r="D76" s="9" t="n">
        <v>0</v>
      </c>
      <c r="E76" s="9" t="n">
        <v>7718000000</v>
      </c>
      <c r="F76" s="9" t="n">
        <v>0</v>
      </c>
      <c r="G76" s="9" t="n">
        <v>4412750000</v>
      </c>
      <c r="H76" s="9" t="n">
        <v>520470000</v>
      </c>
      <c r="I76" s="9" t="n">
        <v>6002500000</v>
      </c>
      <c r="J76" s="9" t="n">
        <v>0</v>
      </c>
      <c r="K76" s="9" t="n">
        <v>0</v>
      </c>
      <c r="L76" s="9" t="n">
        <v>8974113024</v>
      </c>
      <c r="M76" s="9" t="n">
        <v>607215000</v>
      </c>
      <c r="N76" s="9" t="n">
        <v>6002500000</v>
      </c>
      <c r="O76" s="9" t="n">
        <v>7718000000</v>
      </c>
      <c r="P76" s="9" t="n">
        <v>0</v>
      </c>
      <c r="Q76" s="9" t="n">
        <v>25966.7939</v>
      </c>
      <c r="R76" s="9" t="n">
        <v>493.8208</v>
      </c>
      <c r="S76" s="9" t="n">
        <v>0</v>
      </c>
      <c r="T76" s="9" t="n">
        <v>43936.9279</v>
      </c>
      <c r="U76" s="9" t="n">
        <v>0</v>
      </c>
      <c r="V76" s="9" t="n">
        <v>25120.8213</v>
      </c>
      <c r="W76" s="9" t="n">
        <v>2962.9247</v>
      </c>
      <c r="X76" s="9" t="n">
        <v>34170.9523</v>
      </c>
      <c r="Y76" s="9" t="n">
        <v>0</v>
      </c>
      <c r="Z76" s="9" t="n">
        <v>0</v>
      </c>
      <c r="AA76" s="9" t="n">
        <v>51087.6152</v>
      </c>
      <c r="AB76" s="9" t="n">
        <v>3456.7455</v>
      </c>
      <c r="AC76" s="9" t="n">
        <v>34170.9523</v>
      </c>
      <c r="AD76" s="9" t="n">
        <v>43936.9279</v>
      </c>
      <c r="AE76" s="9" t="n">
        <v>0</v>
      </c>
      <c r="AF76" s="9" t="n">
        <v>77792</v>
      </c>
      <c r="AG76" s="9" t="n">
        <v>175661</v>
      </c>
      <c r="AH76" s="9" t="n">
        <v>173490</v>
      </c>
      <c r="AI76" s="9" t="n">
        <v>197250000</v>
      </c>
      <c r="AJ76" s="9" t="n">
        <v>102500000</v>
      </c>
      <c r="AK76" s="9" t="n">
        <v>56000000</v>
      </c>
      <c r="AL76" s="9" t="n">
        <v>48687012</v>
      </c>
      <c r="AM76" s="9" t="n">
        <v>30000000</v>
      </c>
      <c r="AN76" s="9" t="n">
        <v>70000000</v>
      </c>
      <c r="AO76" s="9" t="n">
        <v>28000000</v>
      </c>
      <c r="AP76" s="9" t="n">
        <v>19616600</v>
      </c>
      <c r="AQ76" s="9" t="n">
        <v>2401</v>
      </c>
      <c r="AR76" s="9" t="n">
        <v>208580</v>
      </c>
      <c r="AS76" s="9" t="n">
        <v>4617</v>
      </c>
    </row>
    <row r="77">
      <c r="A77" s="11" t="n">
        <v>46144</v>
      </c>
      <c r="B77" s="9" t="n">
        <v>4641554846</v>
      </c>
      <c r="C77" s="9" t="n">
        <v>89750000</v>
      </c>
      <c r="D77" s="9" t="n">
        <v>0</v>
      </c>
      <c r="E77" s="9" t="n">
        <v>7718000000</v>
      </c>
      <c r="F77" s="9" t="n">
        <v>0</v>
      </c>
      <c r="G77" s="9" t="n">
        <v>4516500000</v>
      </c>
      <c r="H77" s="9" t="n">
        <v>538500000</v>
      </c>
      <c r="I77" s="9" t="n">
        <v>6002500000</v>
      </c>
      <c r="J77" s="9" t="n">
        <v>0</v>
      </c>
      <c r="K77" s="9" t="n">
        <v>0</v>
      </c>
      <c r="L77" s="9" t="n">
        <v>9158054846</v>
      </c>
      <c r="M77" s="9" t="n">
        <v>628250000</v>
      </c>
      <c r="N77" s="9" t="n">
        <v>6002500000</v>
      </c>
      <c r="O77" s="9" t="n">
        <v>7718000000</v>
      </c>
      <c r="P77" s="9" t="n">
        <v>0</v>
      </c>
      <c r="Q77" s="9" t="n">
        <v>25332.5411</v>
      </c>
      <c r="R77" s="9" t="n">
        <v>489.8349</v>
      </c>
      <c r="S77" s="9" t="n">
        <v>0</v>
      </c>
      <c r="T77" s="9" t="n">
        <v>42123.0727</v>
      </c>
      <c r="U77" s="9" t="n">
        <v>0</v>
      </c>
      <c r="V77" s="9" t="n">
        <v>24650.0205</v>
      </c>
      <c r="W77" s="9" t="n">
        <v>2939.0094</v>
      </c>
      <c r="X77" s="9" t="n">
        <v>32760.2674</v>
      </c>
      <c r="Y77" s="9" t="n">
        <v>0</v>
      </c>
      <c r="Z77" s="9" t="n">
        <v>0</v>
      </c>
      <c r="AA77" s="9" t="n">
        <v>49982.5616</v>
      </c>
      <c r="AB77" s="9" t="n">
        <v>3428.8443</v>
      </c>
      <c r="AC77" s="9" t="n">
        <v>32760.2674</v>
      </c>
      <c r="AD77" s="9" t="n">
        <v>42123.0727</v>
      </c>
      <c r="AE77" s="9" t="n">
        <v>0</v>
      </c>
      <c r="AF77" s="9" t="n">
        <v>78461</v>
      </c>
      <c r="AG77" s="9" t="n">
        <v>183225</v>
      </c>
      <c r="AH77" s="9" t="n">
        <v>179500</v>
      </c>
      <c r="AI77" s="9" t="n">
        <v>202000000</v>
      </c>
      <c r="AJ77" s="9" t="n">
        <v>103500000</v>
      </c>
      <c r="AK77" s="9" t="n">
        <v>57000000</v>
      </c>
      <c r="AL77" s="9" t="n">
        <v>49556423</v>
      </c>
      <c r="AM77" s="9" t="n">
        <v>30000000</v>
      </c>
      <c r="AN77" s="9" t="n">
        <v>70000000</v>
      </c>
      <c r="AO77" s="9" t="n">
        <v>28000000</v>
      </c>
      <c r="AP77" s="9" t="n">
        <v>20014800</v>
      </c>
      <c r="AQ77" s="9" t="n">
        <v>2401</v>
      </c>
      <c r="AR77" s="9" t="n">
        <v>213900</v>
      </c>
      <c r="AS77" s="9" t="n">
        <v>4614</v>
      </c>
    </row>
    <row r="78">
      <c r="A78" s="11" t="n">
        <v>46145</v>
      </c>
      <c r="B78" s="9" t="n">
        <v>4702987971.3333</v>
      </c>
      <c r="C78" s="9" t="n">
        <v>91920000</v>
      </c>
      <c r="D78" s="9" t="n">
        <v>0</v>
      </c>
      <c r="E78" s="9" t="n">
        <v>7718000000</v>
      </c>
      <c r="F78" s="9" t="n">
        <v>0</v>
      </c>
      <c r="G78" s="9" t="n">
        <v>4581166666.6667</v>
      </c>
      <c r="H78" s="9" t="n">
        <v>551520000</v>
      </c>
      <c r="I78" s="9" t="n">
        <v>6002500000</v>
      </c>
      <c r="J78" s="9" t="n">
        <v>0</v>
      </c>
      <c r="K78" s="9" t="n">
        <v>0</v>
      </c>
      <c r="L78" s="9" t="n">
        <v>9284154638</v>
      </c>
      <c r="M78" s="9" t="n">
        <v>643440000</v>
      </c>
      <c r="N78" s="9" t="n">
        <v>6002500000</v>
      </c>
      <c r="O78" s="9" t="n">
        <v>7718000000</v>
      </c>
      <c r="P78" s="9" t="n">
        <v>0</v>
      </c>
      <c r="Q78" s="9" t="n">
        <v>25072.0108</v>
      </c>
      <c r="R78" s="9" t="n">
        <v>490.0337</v>
      </c>
      <c r="S78" s="9" t="n">
        <v>0</v>
      </c>
      <c r="T78" s="9" t="n">
        <v>41145.2776</v>
      </c>
      <c r="U78" s="9" t="n">
        <v>0</v>
      </c>
      <c r="V78" s="9" t="n">
        <v>24422.5527</v>
      </c>
      <c r="W78" s="9" t="n">
        <v>2940.2025</v>
      </c>
      <c r="X78" s="9" t="n">
        <v>31999.8094</v>
      </c>
      <c r="Y78" s="9" t="n">
        <v>0</v>
      </c>
      <c r="Z78" s="9" t="n">
        <v>0</v>
      </c>
      <c r="AA78" s="9" t="n">
        <v>49494.5634</v>
      </c>
      <c r="AB78" s="9" t="n">
        <v>3430.2362</v>
      </c>
      <c r="AC78" s="9" t="n">
        <v>31999.8094</v>
      </c>
      <c r="AD78" s="9" t="n">
        <v>41145.2776</v>
      </c>
      <c r="AE78" s="9" t="n">
        <v>0</v>
      </c>
      <c r="AF78" s="9" t="n">
        <v>78636</v>
      </c>
      <c r="AG78" s="9" t="n">
        <v>187579.3333</v>
      </c>
      <c r="AH78" s="9" t="n">
        <v>183840</v>
      </c>
      <c r="AI78" s="9" t="n">
        <v>204833333.3333</v>
      </c>
      <c r="AJ78" s="9" t="n">
        <v>105166666.6667</v>
      </c>
      <c r="AK78" s="9" t="n">
        <v>58166666.6667</v>
      </c>
      <c r="AL78" s="9" t="n">
        <v>50570735.6667</v>
      </c>
      <c r="AM78" s="9" t="n">
        <v>30000000</v>
      </c>
      <c r="AN78" s="9" t="n">
        <v>70000000</v>
      </c>
      <c r="AO78" s="9" t="n">
        <v>29333333.3333</v>
      </c>
      <c r="AP78" s="9" t="n">
        <v>20268766.6667</v>
      </c>
      <c r="AQ78" s="9" t="n">
        <v>2401</v>
      </c>
      <c r="AR78" s="9" t="n">
        <v>219006.6667</v>
      </c>
      <c r="AS78" s="9" t="n">
        <v>4614</v>
      </c>
    </row>
    <row r="79">
      <c r="A79" s="11" t="n">
        <v>46147</v>
      </c>
      <c r="B79" s="9" t="n">
        <v>4448035292</v>
      </c>
      <c r="C79" s="9" t="n">
        <v>89750000</v>
      </c>
      <c r="D79" s="9" t="n">
        <v>0</v>
      </c>
      <c r="E79" s="9" t="n">
        <v>7718000000</v>
      </c>
      <c r="F79" s="9" t="n">
        <v>0</v>
      </c>
      <c r="G79" s="9" t="n">
        <v>4317500000</v>
      </c>
      <c r="H79" s="9" t="n">
        <v>538500000</v>
      </c>
      <c r="I79" s="9" t="n">
        <v>6002500000</v>
      </c>
      <c r="J79" s="9" t="n">
        <v>0</v>
      </c>
      <c r="K79" s="9" t="n">
        <v>0</v>
      </c>
      <c r="L79" s="9" t="n">
        <v>8765535292</v>
      </c>
      <c r="M79" s="9" t="n">
        <v>628250000</v>
      </c>
      <c r="N79" s="9" t="n">
        <v>6002500000</v>
      </c>
      <c r="O79" s="9" t="n">
        <v>7718000000</v>
      </c>
      <c r="P79" s="9" t="n">
        <v>0</v>
      </c>
      <c r="Q79" s="9" t="n">
        <v>24574.7806</v>
      </c>
      <c r="R79" s="9" t="n">
        <v>495.8564</v>
      </c>
      <c r="S79" s="9" t="n">
        <v>0</v>
      </c>
      <c r="T79" s="9" t="n">
        <v>42640.884</v>
      </c>
      <c r="U79" s="9" t="n">
        <v>0</v>
      </c>
      <c r="V79" s="9" t="n">
        <v>23853.5912</v>
      </c>
      <c r="W79" s="9" t="n">
        <v>2975.1381</v>
      </c>
      <c r="X79" s="9" t="n">
        <v>33162.9834</v>
      </c>
      <c r="Y79" s="9" t="n">
        <v>0</v>
      </c>
      <c r="Z79" s="9" t="n">
        <v>0</v>
      </c>
      <c r="AA79" s="9" t="n">
        <v>48428.3718</v>
      </c>
      <c r="AB79" s="9" t="n">
        <v>3470.9945</v>
      </c>
      <c r="AC79" s="9" t="n">
        <v>33162.9834</v>
      </c>
      <c r="AD79" s="9" t="n">
        <v>42640.884</v>
      </c>
      <c r="AE79" s="9" t="n">
        <v>0</v>
      </c>
      <c r="AF79" s="9" t="n">
        <v>81574</v>
      </c>
      <c r="AG79" s="9" t="n">
        <v>181000</v>
      </c>
      <c r="AH79" s="9" t="n">
        <v>179500</v>
      </c>
      <c r="AI79" s="9" t="n">
        <v>193000000</v>
      </c>
      <c r="AJ79" s="9" t="n">
        <v>101000000</v>
      </c>
      <c r="AK79" s="9" t="n">
        <v>54500000</v>
      </c>
      <c r="AL79" s="9" t="n">
        <v>47382896</v>
      </c>
      <c r="AM79" s="9" t="n">
        <v>30000000</v>
      </c>
      <c r="AN79" s="9" t="n">
        <v>70000000</v>
      </c>
      <c r="AO79" s="9" t="n">
        <v>27000000</v>
      </c>
      <c r="AP79" s="9" t="n">
        <v>19068300</v>
      </c>
      <c r="AQ79" s="9" t="n">
        <v>2401</v>
      </c>
      <c r="AR79" s="9" t="n">
        <v>212350</v>
      </c>
      <c r="AS79" s="9" t="n">
        <v>4556</v>
      </c>
    </row>
    <row r="80">
      <c r="A80" s="11" t="n">
        <v>46148</v>
      </c>
      <c r="B80" s="9" t="n">
        <v>4448035292</v>
      </c>
      <c r="C80" s="9" t="n">
        <v>89750000</v>
      </c>
      <c r="D80" s="9" t="n">
        <v>0</v>
      </c>
      <c r="E80" s="9" t="n">
        <v>7718000000</v>
      </c>
      <c r="F80" s="9" t="n">
        <v>0</v>
      </c>
      <c r="G80" s="9" t="n">
        <v>4317500000</v>
      </c>
      <c r="H80" s="9" t="n">
        <v>538500000</v>
      </c>
      <c r="I80" s="9" t="n">
        <v>6002500000</v>
      </c>
      <c r="J80" s="9" t="n">
        <v>0</v>
      </c>
      <c r="K80" s="9" t="n">
        <v>0</v>
      </c>
      <c r="L80" s="9" t="n">
        <v>8765535292</v>
      </c>
      <c r="M80" s="9" t="n">
        <v>628250000</v>
      </c>
      <c r="N80" s="9" t="n">
        <v>6002500000</v>
      </c>
      <c r="O80" s="9" t="n">
        <v>7718000000</v>
      </c>
      <c r="P80" s="9" t="n">
        <v>0</v>
      </c>
      <c r="Q80" s="9" t="n">
        <v>24574.7806</v>
      </c>
      <c r="R80" s="9" t="n">
        <v>495.8564</v>
      </c>
      <c r="S80" s="9" t="n">
        <v>0</v>
      </c>
      <c r="T80" s="9" t="n">
        <v>42640.884</v>
      </c>
      <c r="U80" s="9" t="n">
        <v>0</v>
      </c>
      <c r="V80" s="9" t="n">
        <v>23853.5912</v>
      </c>
      <c r="W80" s="9" t="n">
        <v>2975.1381</v>
      </c>
      <c r="X80" s="9" t="n">
        <v>33162.9834</v>
      </c>
      <c r="Y80" s="9" t="n">
        <v>0</v>
      </c>
      <c r="Z80" s="9" t="n">
        <v>0</v>
      </c>
      <c r="AA80" s="9" t="n">
        <v>48428.3718</v>
      </c>
      <c r="AB80" s="9" t="n">
        <v>3470.9945</v>
      </c>
      <c r="AC80" s="9" t="n">
        <v>33162.9834</v>
      </c>
      <c r="AD80" s="9" t="n">
        <v>42640.884</v>
      </c>
      <c r="AE80" s="9" t="n">
        <v>0</v>
      </c>
      <c r="AF80" s="9" t="n">
        <v>81574</v>
      </c>
      <c r="AG80" s="9" t="n">
        <v>181000</v>
      </c>
      <c r="AH80" s="9" t="n">
        <v>179500</v>
      </c>
      <c r="AI80" s="9" t="n">
        <v>193000000</v>
      </c>
      <c r="AJ80" s="9" t="n">
        <v>101000000</v>
      </c>
      <c r="AK80" s="9" t="n">
        <v>54500000</v>
      </c>
      <c r="AL80" s="9" t="n">
        <v>47382896</v>
      </c>
      <c r="AM80" s="9" t="n">
        <v>30000000</v>
      </c>
      <c r="AN80" s="9" t="n">
        <v>70000000</v>
      </c>
      <c r="AO80" s="9" t="n">
        <v>27000000</v>
      </c>
      <c r="AP80" s="9" t="n">
        <v>19068300</v>
      </c>
      <c r="AQ80" s="9" t="n">
        <v>2401</v>
      </c>
      <c r="AR80" s="9" t="n">
        <v>212350</v>
      </c>
      <c r="AS80" s="9" t="n">
        <v>4556</v>
      </c>
    </row>
    <row r="81">
      <c r="A81" s="11" t="n">
        <v>46150</v>
      </c>
      <c r="B81" s="9" t="n">
        <v>4511325880</v>
      </c>
      <c r="C81" s="9" t="n">
        <v>87495000</v>
      </c>
      <c r="D81" s="9" t="n">
        <v>0</v>
      </c>
      <c r="E81" s="9" t="n">
        <v>7718000000</v>
      </c>
      <c r="F81" s="9" t="n">
        <v>0</v>
      </c>
      <c r="G81" s="9" t="n">
        <v>4346500000</v>
      </c>
      <c r="H81" s="9" t="n">
        <v>524970000</v>
      </c>
      <c r="I81" s="9" t="n">
        <v>6002500000</v>
      </c>
      <c r="J81" s="9" t="n">
        <v>0</v>
      </c>
      <c r="K81" s="9" t="n">
        <v>0</v>
      </c>
      <c r="L81" s="9" t="n">
        <v>8857825880</v>
      </c>
      <c r="M81" s="9" t="n">
        <v>612465000</v>
      </c>
      <c r="N81" s="9" t="n">
        <v>6002500000</v>
      </c>
      <c r="O81" s="9" t="n">
        <v>7718000000</v>
      </c>
      <c r="P81" s="9" t="n">
        <v>0</v>
      </c>
      <c r="Q81" s="9" t="n">
        <v>25226.4732</v>
      </c>
      <c r="R81" s="9" t="n">
        <v>489.2553</v>
      </c>
      <c r="S81" s="9" t="n">
        <v>0</v>
      </c>
      <c r="T81" s="9" t="n">
        <v>43157.5828</v>
      </c>
      <c r="U81" s="9" t="n">
        <v>0</v>
      </c>
      <c r="V81" s="9" t="n">
        <v>24304.7983</v>
      </c>
      <c r="W81" s="9" t="n">
        <v>2935.532</v>
      </c>
      <c r="X81" s="9" t="n">
        <v>33564.8342</v>
      </c>
      <c r="Y81" s="9" t="n">
        <v>0</v>
      </c>
      <c r="Z81" s="9" t="n">
        <v>0</v>
      </c>
      <c r="AA81" s="9" t="n">
        <v>49531.2715</v>
      </c>
      <c r="AB81" s="9" t="n">
        <v>3424.7874</v>
      </c>
      <c r="AC81" s="9" t="n">
        <v>33564.8342</v>
      </c>
      <c r="AD81" s="9" t="n">
        <v>43157.5828</v>
      </c>
      <c r="AE81" s="9" t="n">
        <v>0</v>
      </c>
      <c r="AF81" s="9" t="n">
        <v>79613</v>
      </c>
      <c r="AG81" s="9" t="n">
        <v>178833</v>
      </c>
      <c r="AH81" s="9" t="n">
        <v>174990</v>
      </c>
      <c r="AI81" s="9" t="n">
        <v>194500000</v>
      </c>
      <c r="AJ81" s="9" t="n">
        <v>100000000</v>
      </c>
      <c r="AK81" s="9" t="n">
        <v>54000000</v>
      </c>
      <c r="AL81" s="9" t="n">
        <v>46948190</v>
      </c>
      <c r="AM81" s="9" t="n">
        <v>30000000</v>
      </c>
      <c r="AN81" s="9" t="n">
        <v>70000000</v>
      </c>
      <c r="AO81" s="9" t="n">
        <v>27000000</v>
      </c>
      <c r="AP81" s="9" t="n">
        <v>19472300</v>
      </c>
      <c r="AQ81" s="9" t="n">
        <v>2401</v>
      </c>
      <c r="AR81" s="9" t="n">
        <v>206700</v>
      </c>
      <c r="AS81" s="9" t="n">
        <v>4740</v>
      </c>
    </row>
    <row r="82">
      <c r="A82" s="11" t="n">
        <v>46151</v>
      </c>
      <c r="B82" s="9" t="n">
        <v>4517051380</v>
      </c>
      <c r="C82" s="9" t="n">
        <v>88495000</v>
      </c>
      <c r="D82" s="9" t="n">
        <v>0</v>
      </c>
      <c r="E82" s="9" t="n">
        <v>7718000000</v>
      </c>
      <c r="F82" s="9" t="n">
        <v>0</v>
      </c>
      <c r="G82" s="9" t="n">
        <v>4346500000</v>
      </c>
      <c r="H82" s="9" t="n">
        <v>530970000</v>
      </c>
      <c r="I82" s="9" t="n">
        <v>6002500000</v>
      </c>
      <c r="J82" s="9" t="n">
        <v>0</v>
      </c>
      <c r="K82" s="9" t="n">
        <v>0</v>
      </c>
      <c r="L82" s="9" t="n">
        <v>8863551380</v>
      </c>
      <c r="M82" s="9" t="n">
        <v>619465000</v>
      </c>
      <c r="N82" s="9" t="n">
        <v>6002500000</v>
      </c>
      <c r="O82" s="9" t="n">
        <v>7718000000</v>
      </c>
      <c r="P82" s="9" t="n">
        <v>0</v>
      </c>
      <c r="Q82" s="9" t="n">
        <v>25359.1697</v>
      </c>
      <c r="R82" s="9" t="n">
        <v>496.8196</v>
      </c>
      <c r="S82" s="9" t="n">
        <v>0</v>
      </c>
      <c r="T82" s="9" t="n">
        <v>43329.6093</v>
      </c>
      <c r="U82" s="9" t="n">
        <v>0</v>
      </c>
      <c r="V82" s="9" t="n">
        <v>24401.6775</v>
      </c>
      <c r="W82" s="9" t="n">
        <v>2980.9177</v>
      </c>
      <c r="X82" s="9" t="n">
        <v>33698.624</v>
      </c>
      <c r="Y82" s="9" t="n">
        <v>0</v>
      </c>
      <c r="Z82" s="9" t="n">
        <v>0</v>
      </c>
      <c r="AA82" s="9" t="n">
        <v>49760.8472</v>
      </c>
      <c r="AB82" s="9" t="n">
        <v>3477.7373</v>
      </c>
      <c r="AC82" s="9" t="n">
        <v>33698.624</v>
      </c>
      <c r="AD82" s="9" t="n">
        <v>43329.6093</v>
      </c>
      <c r="AE82" s="9" t="n">
        <v>0</v>
      </c>
      <c r="AF82" s="9" t="n">
        <v>80215</v>
      </c>
      <c r="AG82" s="9" t="n">
        <v>178123</v>
      </c>
      <c r="AH82" s="9" t="n">
        <v>176990</v>
      </c>
      <c r="AI82" s="9" t="n">
        <v>194500000</v>
      </c>
      <c r="AJ82" s="9" t="n">
        <v>100000000</v>
      </c>
      <c r="AK82" s="9" t="n">
        <v>54000000</v>
      </c>
      <c r="AL82" s="9" t="n">
        <v>46948190</v>
      </c>
      <c r="AM82" s="9" t="n">
        <v>30000000</v>
      </c>
      <c r="AN82" s="9" t="n">
        <v>70000000</v>
      </c>
      <c r="AO82" s="9" t="n">
        <v>27000000</v>
      </c>
      <c r="AP82" s="9" t="n">
        <v>19507000</v>
      </c>
      <c r="AQ82" s="9" t="n">
        <v>2401</v>
      </c>
      <c r="AR82" s="9" t="n">
        <v>206700</v>
      </c>
      <c r="AS82" s="9" t="n">
        <v>4713</v>
      </c>
    </row>
    <row r="83">
      <c r="A83" s="11" t="n">
        <v>46152</v>
      </c>
      <c r="B83" s="9" t="n">
        <v>4451216059</v>
      </c>
      <c r="C83" s="9" t="n">
        <v>87997500</v>
      </c>
      <c r="D83" s="9" t="n">
        <v>0</v>
      </c>
      <c r="E83" s="9" t="n">
        <v>7718000000</v>
      </c>
      <c r="F83" s="9" t="n">
        <v>0</v>
      </c>
      <c r="G83" s="9" t="n">
        <v>4300250000</v>
      </c>
      <c r="H83" s="9" t="n">
        <v>527985000</v>
      </c>
      <c r="I83" s="9" t="n">
        <v>6002500000</v>
      </c>
      <c r="J83" s="9" t="n">
        <v>0</v>
      </c>
      <c r="K83" s="9" t="n">
        <v>0</v>
      </c>
      <c r="L83" s="9" t="n">
        <v>8751466059</v>
      </c>
      <c r="M83" s="9" t="n">
        <v>615982500</v>
      </c>
      <c r="N83" s="9" t="n">
        <v>6002500000</v>
      </c>
      <c r="O83" s="9" t="n">
        <v>7718000000</v>
      </c>
      <c r="P83" s="9" t="n">
        <v>0</v>
      </c>
      <c r="Q83" s="9" t="n">
        <v>25011.2016</v>
      </c>
      <c r="R83" s="9" t="n">
        <v>494.4546</v>
      </c>
      <c r="S83" s="9" t="n">
        <v>0</v>
      </c>
      <c r="T83" s="9" t="n">
        <v>43367.1045</v>
      </c>
      <c r="U83" s="9" t="n">
        <v>0</v>
      </c>
      <c r="V83" s="9" t="n">
        <v>24162.9283</v>
      </c>
      <c r="W83" s="9" t="n">
        <v>2966.7275</v>
      </c>
      <c r="X83" s="9" t="n">
        <v>33727.785</v>
      </c>
      <c r="Y83" s="9" t="n">
        <v>0</v>
      </c>
      <c r="Z83" s="9" t="n">
        <v>0</v>
      </c>
      <c r="AA83" s="9" t="n">
        <v>49174.1299</v>
      </c>
      <c r="AB83" s="9" t="n">
        <v>3461.182</v>
      </c>
      <c r="AC83" s="9" t="n">
        <v>33727.785</v>
      </c>
      <c r="AD83" s="9" t="n">
        <v>43367.1045</v>
      </c>
      <c r="AE83" s="9" t="n">
        <v>0</v>
      </c>
      <c r="AF83" s="9" t="n">
        <v>80952</v>
      </c>
      <c r="AG83" s="9" t="n">
        <v>177969</v>
      </c>
      <c r="AH83" s="9" t="n">
        <v>175995</v>
      </c>
      <c r="AI83" s="9" t="n">
        <v>192500000</v>
      </c>
      <c r="AJ83" s="9" t="n">
        <v>98750000</v>
      </c>
      <c r="AK83" s="9" t="n">
        <v>53000000</v>
      </c>
      <c r="AL83" s="9" t="n">
        <v>46078779.5</v>
      </c>
      <c r="AM83" s="9" t="n">
        <v>30000000</v>
      </c>
      <c r="AN83" s="9" t="n">
        <v>70000000</v>
      </c>
      <c r="AO83" s="9" t="n">
        <v>28000000</v>
      </c>
      <c r="AP83" s="9" t="n">
        <v>19154900</v>
      </c>
      <c r="AQ83" s="9" t="n">
        <v>2401</v>
      </c>
      <c r="AR83" s="9" t="n">
        <v>208605</v>
      </c>
      <c r="AS83" s="9" t="n">
        <v>4713</v>
      </c>
    </row>
    <row r="84">
      <c r="A84" s="11" t="n">
        <v>46154</v>
      </c>
      <c r="B84" s="9" t="n">
        <v>4582182024</v>
      </c>
      <c r="C84" s="9" t="n">
        <v>90210000</v>
      </c>
      <c r="D84" s="9" t="n">
        <v>0</v>
      </c>
      <c r="E84" s="9" t="n">
        <v>7718000000</v>
      </c>
      <c r="F84" s="9" t="n">
        <v>0</v>
      </c>
      <c r="G84" s="9" t="n">
        <v>4385105000</v>
      </c>
      <c r="H84" s="9" t="n">
        <v>541260000</v>
      </c>
      <c r="I84" s="9" t="n">
        <v>6002500000</v>
      </c>
      <c r="J84" s="9" t="n">
        <v>0</v>
      </c>
      <c r="K84" s="9" t="n">
        <v>0</v>
      </c>
      <c r="L84" s="9" t="n">
        <v>8967287024</v>
      </c>
      <c r="M84" s="9" t="n">
        <v>631470000</v>
      </c>
      <c r="N84" s="9" t="n">
        <v>6002500000</v>
      </c>
      <c r="O84" s="9" t="n">
        <v>7718000000</v>
      </c>
      <c r="P84" s="9" t="n">
        <v>0</v>
      </c>
      <c r="Q84" s="9" t="n">
        <v>25348.1331</v>
      </c>
      <c r="R84" s="9" t="n">
        <v>499.0319</v>
      </c>
      <c r="S84" s="9" t="n">
        <v>0</v>
      </c>
      <c r="T84" s="9" t="n">
        <v>42695.1375</v>
      </c>
      <c r="U84" s="9" t="n">
        <v>0</v>
      </c>
      <c r="V84" s="9" t="n">
        <v>24257.9244</v>
      </c>
      <c r="W84" s="9" t="n">
        <v>2994.1915</v>
      </c>
      <c r="X84" s="9" t="n">
        <v>33205.1779</v>
      </c>
      <c r="Y84" s="9" t="n">
        <v>0</v>
      </c>
      <c r="Z84" s="9" t="n">
        <v>0</v>
      </c>
      <c r="AA84" s="9" t="n">
        <v>49606.0576</v>
      </c>
      <c r="AB84" s="9" t="n">
        <v>3493.2234</v>
      </c>
      <c r="AC84" s="9" t="n">
        <v>33205.1779</v>
      </c>
      <c r="AD84" s="9" t="n">
        <v>42695.1375</v>
      </c>
      <c r="AE84" s="9" t="n">
        <v>0</v>
      </c>
      <c r="AF84" s="9" t="n">
        <v>80739</v>
      </c>
      <c r="AG84" s="9" t="n">
        <v>180770</v>
      </c>
      <c r="AH84" s="9" t="n">
        <v>180420</v>
      </c>
      <c r="AI84" s="9" t="n">
        <v>196005000</v>
      </c>
      <c r="AJ84" s="9" t="n">
        <v>101000000</v>
      </c>
      <c r="AK84" s="9" t="n">
        <v>56000000</v>
      </c>
      <c r="AL84" s="9" t="n">
        <v>48687012</v>
      </c>
      <c r="AM84" s="9" t="n">
        <v>30000000</v>
      </c>
      <c r="AN84" s="9" t="n">
        <v>70000000</v>
      </c>
      <c r="AO84" s="9" t="n">
        <v>28500000</v>
      </c>
      <c r="AP84" s="9" t="n">
        <v>19738200</v>
      </c>
      <c r="AQ84" s="9" t="n">
        <v>2401</v>
      </c>
      <c r="AR84" s="9" t="n">
        <v>212060</v>
      </c>
      <c r="AS84" s="9" t="n">
        <v>4703</v>
      </c>
    </row>
    <row r="85">
      <c r="A85" s="11" t="n">
        <v>46155</v>
      </c>
      <c r="B85" s="9" t="n">
        <v>4529108380</v>
      </c>
      <c r="C85" s="9" t="n">
        <v>89700000</v>
      </c>
      <c r="D85" s="9" t="n">
        <v>0</v>
      </c>
      <c r="E85" s="9" t="n">
        <v>7718000000</v>
      </c>
      <c r="F85" s="9" t="n">
        <v>0</v>
      </c>
      <c r="G85" s="9" t="n">
        <v>4357000000</v>
      </c>
      <c r="H85" s="9" t="n">
        <v>538200000</v>
      </c>
      <c r="I85" s="9" t="n">
        <v>6002500000</v>
      </c>
      <c r="J85" s="9" t="n">
        <v>0</v>
      </c>
      <c r="K85" s="9" t="n">
        <v>0</v>
      </c>
      <c r="L85" s="9" t="n">
        <v>8886108380</v>
      </c>
      <c r="M85" s="9" t="n">
        <v>627900000</v>
      </c>
      <c r="N85" s="9" t="n">
        <v>6002500000</v>
      </c>
      <c r="O85" s="9" t="n">
        <v>7718000000</v>
      </c>
      <c r="P85" s="9" t="n">
        <v>0</v>
      </c>
      <c r="Q85" s="9" t="n">
        <v>25231.2393</v>
      </c>
      <c r="R85" s="9" t="n">
        <v>499.7103</v>
      </c>
      <c r="S85" s="9" t="n">
        <v>0</v>
      </c>
      <c r="T85" s="9" t="n">
        <v>42996.2564</v>
      </c>
      <c r="U85" s="9" t="n">
        <v>0</v>
      </c>
      <c r="V85" s="9" t="n">
        <v>24272.4396</v>
      </c>
      <c r="W85" s="9" t="n">
        <v>2998.2619</v>
      </c>
      <c r="X85" s="9" t="n">
        <v>33439.3663</v>
      </c>
      <c r="Y85" s="9" t="n">
        <v>0</v>
      </c>
      <c r="Z85" s="9" t="n">
        <v>0</v>
      </c>
      <c r="AA85" s="9" t="n">
        <v>49503.6789</v>
      </c>
      <c r="AB85" s="9" t="n">
        <v>3497.9722</v>
      </c>
      <c r="AC85" s="9" t="n">
        <v>33439.3663</v>
      </c>
      <c r="AD85" s="9" t="n">
        <v>42996.2564</v>
      </c>
      <c r="AE85" s="9" t="n">
        <v>0</v>
      </c>
      <c r="AF85" s="9" t="n">
        <v>79535</v>
      </c>
      <c r="AG85" s="9" t="n">
        <v>179504</v>
      </c>
      <c r="AH85" s="9" t="n">
        <v>179400</v>
      </c>
      <c r="AI85" s="9" t="n">
        <v>195000000</v>
      </c>
      <c r="AJ85" s="9" t="n">
        <v>100000000</v>
      </c>
      <c r="AK85" s="9" t="n">
        <v>54000000</v>
      </c>
      <c r="AL85" s="9" t="n">
        <v>46948190</v>
      </c>
      <c r="AM85" s="9" t="n">
        <v>30000000</v>
      </c>
      <c r="AN85" s="9" t="n">
        <v>70000000</v>
      </c>
      <c r="AO85" s="9" t="n">
        <v>28000000</v>
      </c>
      <c r="AP85" s="9" t="n">
        <v>19552800</v>
      </c>
      <c r="AQ85" s="9" t="n">
        <v>2401</v>
      </c>
      <c r="AR85" s="9" t="n">
        <v>210250</v>
      </c>
      <c r="AS85" s="9" t="n">
        <v>4687</v>
      </c>
    </row>
    <row r="86">
      <c r="A86" s="11" t="n">
        <v>46156</v>
      </c>
      <c r="B86" s="9" t="n">
        <v>4529657880</v>
      </c>
      <c r="C86" s="9" t="n">
        <v>89100000</v>
      </c>
      <c r="D86" s="9" t="n">
        <v>0</v>
      </c>
      <c r="E86" s="9" t="n">
        <v>7718000000</v>
      </c>
      <c r="F86" s="9" t="n">
        <v>0</v>
      </c>
      <c r="G86" s="9" t="n">
        <v>4367000000</v>
      </c>
      <c r="H86" s="9" t="n">
        <v>534600000</v>
      </c>
      <c r="I86" s="9" t="n">
        <v>6002500000</v>
      </c>
      <c r="J86" s="9" t="n">
        <v>0</v>
      </c>
      <c r="K86" s="9" t="n">
        <v>0</v>
      </c>
      <c r="L86" s="9" t="n">
        <v>8896657880</v>
      </c>
      <c r="M86" s="9" t="n">
        <v>623700000</v>
      </c>
      <c r="N86" s="9" t="n">
        <v>6002500000</v>
      </c>
      <c r="O86" s="9" t="n">
        <v>7718000000</v>
      </c>
      <c r="P86" s="9" t="n">
        <v>0</v>
      </c>
      <c r="Q86" s="9" t="n">
        <v>25223.1997</v>
      </c>
      <c r="R86" s="9" t="n">
        <v>496.1494</v>
      </c>
      <c r="S86" s="9" t="n">
        <v>0</v>
      </c>
      <c r="T86" s="9" t="n">
        <v>42977.342</v>
      </c>
      <c r="U86" s="9" t="n">
        <v>0</v>
      </c>
      <c r="V86" s="9" t="n">
        <v>24317.4465</v>
      </c>
      <c r="W86" s="9" t="n">
        <v>2976.8965</v>
      </c>
      <c r="X86" s="9" t="n">
        <v>33424.656</v>
      </c>
      <c r="Y86" s="9" t="n">
        <v>0</v>
      </c>
      <c r="Z86" s="9" t="n">
        <v>0</v>
      </c>
      <c r="AA86" s="9" t="n">
        <v>49540.6463</v>
      </c>
      <c r="AB86" s="9" t="n">
        <v>3473.0459</v>
      </c>
      <c r="AC86" s="9" t="n">
        <v>33424.656</v>
      </c>
      <c r="AD86" s="9" t="n">
        <v>42977.342</v>
      </c>
      <c r="AE86" s="9" t="n">
        <v>0</v>
      </c>
      <c r="AF86" s="9" t="n">
        <v>79786</v>
      </c>
      <c r="AG86" s="9" t="n">
        <v>179583</v>
      </c>
      <c r="AH86" s="9" t="n">
        <v>178200</v>
      </c>
      <c r="AI86" s="9" t="n">
        <v>195500000</v>
      </c>
      <c r="AJ86" s="9" t="n">
        <v>99500000</v>
      </c>
      <c r="AK86" s="9" t="n">
        <v>54000000</v>
      </c>
      <c r="AL86" s="9" t="n">
        <v>46948190</v>
      </c>
      <c r="AM86" s="9" t="n">
        <v>30000000</v>
      </c>
      <c r="AN86" s="9" t="n">
        <v>70000000</v>
      </c>
      <c r="AO86" s="9" t="n">
        <v>28000000</v>
      </c>
      <c r="AP86" s="9" t="n">
        <v>19553100</v>
      </c>
      <c r="AQ86" s="9" t="n">
        <v>2401</v>
      </c>
      <c r="AR86" s="9" t="n">
        <v>209750</v>
      </c>
      <c r="AS86" s="9" t="n">
        <v>4699</v>
      </c>
    </row>
    <row r="87">
      <c r="A87" s="11" t="n">
        <v>46158</v>
      </c>
      <c r="B87" s="9" t="n">
        <v>4514428380</v>
      </c>
      <c r="C87" s="9" t="n">
        <v>90250000</v>
      </c>
      <c r="D87" s="9" t="n">
        <v>0</v>
      </c>
      <c r="E87" s="9" t="n">
        <v>7718000000</v>
      </c>
      <c r="F87" s="9" t="n">
        <v>0</v>
      </c>
      <c r="G87" s="9" t="n">
        <v>4366500000</v>
      </c>
      <c r="H87" s="9" t="n">
        <v>541500000</v>
      </c>
      <c r="I87" s="9" t="n">
        <v>6002500000</v>
      </c>
      <c r="J87" s="9" t="n">
        <v>0</v>
      </c>
      <c r="K87" s="9" t="n">
        <v>0</v>
      </c>
      <c r="L87" s="9" t="n">
        <v>8880928380</v>
      </c>
      <c r="M87" s="9" t="n">
        <v>631750000</v>
      </c>
      <c r="N87" s="9" t="n">
        <v>6002500000</v>
      </c>
      <c r="O87" s="9" t="n">
        <v>7718000000</v>
      </c>
      <c r="P87" s="9" t="n">
        <v>0</v>
      </c>
      <c r="Q87" s="9" t="n">
        <v>25173.5796</v>
      </c>
      <c r="R87" s="9" t="n">
        <v>503.2565</v>
      </c>
      <c r="S87" s="9" t="n">
        <v>0</v>
      </c>
      <c r="T87" s="9" t="n">
        <v>43037.4947</v>
      </c>
      <c r="U87" s="9" t="n">
        <v>0</v>
      </c>
      <c r="V87" s="9" t="n">
        <v>24348.694</v>
      </c>
      <c r="W87" s="9" t="n">
        <v>3019.5392</v>
      </c>
      <c r="X87" s="9" t="n">
        <v>33471.4384</v>
      </c>
      <c r="Y87" s="9" t="n">
        <v>0</v>
      </c>
      <c r="Z87" s="9" t="n">
        <v>0</v>
      </c>
      <c r="AA87" s="9" t="n">
        <v>49522.2737</v>
      </c>
      <c r="AB87" s="9" t="n">
        <v>3522.7957</v>
      </c>
      <c r="AC87" s="9" t="n">
        <v>33471.4384</v>
      </c>
      <c r="AD87" s="9" t="n">
        <v>43037.4947</v>
      </c>
      <c r="AE87" s="9" t="n">
        <v>0</v>
      </c>
      <c r="AF87" s="9" t="n">
        <v>78532</v>
      </c>
      <c r="AG87" s="9" t="n">
        <v>179332</v>
      </c>
      <c r="AH87" s="9" t="n">
        <v>180500</v>
      </c>
      <c r="AI87" s="9" t="n">
        <v>195500000</v>
      </c>
      <c r="AJ87" s="9" t="n">
        <v>99000000</v>
      </c>
      <c r="AK87" s="9" t="n">
        <v>54000000</v>
      </c>
      <c r="AL87" s="9" t="n">
        <v>46948190</v>
      </c>
      <c r="AM87" s="9" t="n">
        <v>30000000</v>
      </c>
      <c r="AN87" s="9" t="n">
        <v>70000000</v>
      </c>
      <c r="AO87" s="9" t="n">
        <v>28000000</v>
      </c>
      <c r="AP87" s="9" t="n">
        <v>19460800</v>
      </c>
      <c r="AQ87" s="9" t="n">
        <v>2401</v>
      </c>
      <c r="AR87" s="9" t="n">
        <v>210500</v>
      </c>
      <c r="AS87" s="9" t="n">
        <v>4540</v>
      </c>
    </row>
    <row r="88">
      <c r="A88" s="11" t="n">
        <v>46161</v>
      </c>
      <c r="B88" s="9" t="n">
        <v>4393038558</v>
      </c>
      <c r="C88" s="9" t="n">
        <v>88000000</v>
      </c>
      <c r="D88" s="9" t="n">
        <v>0</v>
      </c>
      <c r="E88" s="9" t="n">
        <v>7718000000</v>
      </c>
      <c r="F88" s="9" t="n">
        <v>0</v>
      </c>
      <c r="G88" s="9" t="n">
        <v>4257105000</v>
      </c>
      <c r="H88" s="9" t="n">
        <v>528000000</v>
      </c>
      <c r="I88" s="9" t="n">
        <v>6002500000</v>
      </c>
      <c r="J88" s="9" t="n">
        <v>0</v>
      </c>
      <c r="K88" s="9" t="n">
        <v>0</v>
      </c>
      <c r="L88" s="9" t="n">
        <v>8650143558</v>
      </c>
      <c r="M88" s="9" t="n">
        <v>616000000</v>
      </c>
      <c r="N88" s="9" t="n">
        <v>6002500000</v>
      </c>
      <c r="O88" s="9" t="n">
        <v>7718000000</v>
      </c>
      <c r="P88" s="9" t="n">
        <v>0</v>
      </c>
      <c r="Q88" s="9" t="n">
        <v>24566.6815</v>
      </c>
      <c r="R88" s="9" t="n">
        <v>492.1122</v>
      </c>
      <c r="S88" s="9" t="n">
        <v>0</v>
      </c>
      <c r="T88" s="9" t="n">
        <v>43160.4789</v>
      </c>
      <c r="U88" s="9" t="n">
        <v>0</v>
      </c>
      <c r="V88" s="9" t="n">
        <v>23806.516</v>
      </c>
      <c r="W88" s="9" t="n">
        <v>2952.6733</v>
      </c>
      <c r="X88" s="9" t="n">
        <v>33567.0866</v>
      </c>
      <c r="Y88" s="9" t="n">
        <v>0</v>
      </c>
      <c r="Z88" s="9" t="n">
        <v>0</v>
      </c>
      <c r="AA88" s="9" t="n">
        <v>48373.1975</v>
      </c>
      <c r="AB88" s="9" t="n">
        <v>3444.7856</v>
      </c>
      <c r="AC88" s="9" t="n">
        <v>33567.0866</v>
      </c>
      <c r="AD88" s="9" t="n">
        <v>43160.4789</v>
      </c>
      <c r="AE88" s="9" t="n">
        <v>0</v>
      </c>
      <c r="AF88" s="9" t="n">
        <v>76807</v>
      </c>
      <c r="AG88" s="9" t="n">
        <v>178821</v>
      </c>
      <c r="AH88" s="9" t="n">
        <v>176000</v>
      </c>
      <c r="AI88" s="9" t="n">
        <v>190505000</v>
      </c>
      <c r="AJ88" s="9" t="n">
        <v>97500000</v>
      </c>
      <c r="AK88" s="9" t="n">
        <v>53000000</v>
      </c>
      <c r="AL88" s="9" t="n">
        <v>46078779</v>
      </c>
      <c r="AM88" s="9" t="n">
        <v>30000000</v>
      </c>
      <c r="AN88" s="9" t="n">
        <v>70000000</v>
      </c>
      <c r="AO88" s="9" t="n">
        <v>28000000</v>
      </c>
      <c r="AP88" s="9" t="n">
        <v>18814400</v>
      </c>
      <c r="AQ88" s="9" t="n">
        <v>2401</v>
      </c>
      <c r="AR88" s="9" t="n">
        <v>207110</v>
      </c>
      <c r="AS88" s="9" t="n">
        <v>4499</v>
      </c>
    </row>
    <row r="89">
      <c r="A89" s="11" t="n">
        <v>46162</v>
      </c>
      <c r="B89" s="9" t="n">
        <v>4477296792</v>
      </c>
      <c r="C89" s="9" t="n">
        <v>90695000</v>
      </c>
      <c r="D89" s="9" t="n">
        <v>0</v>
      </c>
      <c r="E89" s="9" t="n">
        <v>7718000000</v>
      </c>
      <c r="F89" s="9" t="n">
        <v>0</v>
      </c>
      <c r="G89" s="9" t="n">
        <v>4325395000</v>
      </c>
      <c r="H89" s="9" t="n">
        <v>544170000</v>
      </c>
      <c r="I89" s="9" t="n">
        <v>6002500000</v>
      </c>
      <c r="J89" s="9" t="n">
        <v>0</v>
      </c>
      <c r="K89" s="9" t="n">
        <v>0</v>
      </c>
      <c r="L89" s="9" t="n">
        <v>8802691792</v>
      </c>
      <c r="M89" s="9" t="n">
        <v>634865000</v>
      </c>
      <c r="N89" s="9" t="n">
        <v>6002500000</v>
      </c>
      <c r="O89" s="9" t="n">
        <v>7718000000</v>
      </c>
      <c r="P89" s="9" t="n">
        <v>0</v>
      </c>
      <c r="Q89" s="9" t="n">
        <v>24971.1197</v>
      </c>
      <c r="R89" s="9" t="n">
        <v>505.831</v>
      </c>
      <c r="S89" s="9" t="n">
        <v>0</v>
      </c>
      <c r="T89" s="9" t="n">
        <v>43045.4158</v>
      </c>
      <c r="U89" s="9" t="n">
        <v>0</v>
      </c>
      <c r="V89" s="9" t="n">
        <v>24123.9215</v>
      </c>
      <c r="W89" s="9" t="n">
        <v>3034.9863</v>
      </c>
      <c r="X89" s="9" t="n">
        <v>33477.5989</v>
      </c>
      <c r="Y89" s="9" t="n">
        <v>0</v>
      </c>
      <c r="Z89" s="9" t="n">
        <v>0</v>
      </c>
      <c r="AA89" s="9" t="n">
        <v>49095.0412</v>
      </c>
      <c r="AB89" s="9" t="n">
        <v>3540.8173</v>
      </c>
      <c r="AC89" s="9" t="n">
        <v>33477.5989</v>
      </c>
      <c r="AD89" s="9" t="n">
        <v>43045.4158</v>
      </c>
      <c r="AE89" s="9" t="n">
        <v>0</v>
      </c>
      <c r="AF89" s="9" t="n">
        <v>77528</v>
      </c>
      <c r="AG89" s="9" t="n">
        <v>179299</v>
      </c>
      <c r="AH89" s="9" t="n">
        <v>181390</v>
      </c>
      <c r="AI89" s="9" t="n">
        <v>193495000</v>
      </c>
      <c r="AJ89" s="9" t="n">
        <v>98500000</v>
      </c>
      <c r="AK89" s="9" t="n">
        <v>54500000</v>
      </c>
      <c r="AL89" s="9" t="n">
        <v>47382896</v>
      </c>
      <c r="AM89" s="9" t="n">
        <v>30000000</v>
      </c>
      <c r="AN89" s="9" t="n">
        <v>70000000</v>
      </c>
      <c r="AO89" s="9" t="n">
        <v>28000000</v>
      </c>
      <c r="AP89" s="9" t="n">
        <v>19218400</v>
      </c>
      <c r="AQ89" s="9" t="n">
        <v>2401</v>
      </c>
      <c r="AR89" s="9" t="n">
        <v>210580</v>
      </c>
      <c r="AS89" s="9" t="n">
        <v>4502</v>
      </c>
    </row>
    <row r="90">
      <c r="A90" s="11" t="n">
        <v>46165</v>
      </c>
      <c r="B90" s="9" t="n">
        <v>4403968058</v>
      </c>
      <c r="C90" s="9" t="n">
        <v>89900000</v>
      </c>
      <c r="D90" s="9" t="n">
        <v>0</v>
      </c>
      <c r="E90" s="9" t="n">
        <v>7718000000</v>
      </c>
      <c r="F90" s="9" t="n">
        <v>0</v>
      </c>
      <c r="G90" s="9" t="n">
        <v>4246000000</v>
      </c>
      <c r="H90" s="9" t="n">
        <v>539400000</v>
      </c>
      <c r="I90" s="9" t="n">
        <v>6002500000</v>
      </c>
      <c r="J90" s="9" t="n">
        <v>0</v>
      </c>
      <c r="K90" s="9" t="n">
        <v>0</v>
      </c>
      <c r="L90" s="9" t="n">
        <v>8649968058</v>
      </c>
      <c r="M90" s="9" t="n">
        <v>629300000</v>
      </c>
      <c r="N90" s="9" t="n">
        <v>6002500000</v>
      </c>
      <c r="O90" s="9" t="n">
        <v>7718000000</v>
      </c>
      <c r="P90" s="9" t="n">
        <v>0</v>
      </c>
      <c r="Q90" s="9" t="n">
        <v>24881.1755</v>
      </c>
      <c r="R90" s="9" t="n">
        <v>507.9096</v>
      </c>
      <c r="S90" s="9" t="n">
        <v>0</v>
      </c>
      <c r="T90" s="9" t="n">
        <v>43604.5198</v>
      </c>
      <c r="U90" s="9" t="n">
        <v>0</v>
      </c>
      <c r="V90" s="9" t="n">
        <v>23988.7006</v>
      </c>
      <c r="W90" s="9" t="n">
        <v>3047.4576</v>
      </c>
      <c r="X90" s="9" t="n">
        <v>33912.4294</v>
      </c>
      <c r="Y90" s="9" t="n">
        <v>0</v>
      </c>
      <c r="Z90" s="9" t="n">
        <v>0</v>
      </c>
      <c r="AA90" s="9" t="n">
        <v>48869.876</v>
      </c>
      <c r="AB90" s="9" t="n">
        <v>3555.3672</v>
      </c>
      <c r="AC90" s="9" t="n">
        <v>33912.4294</v>
      </c>
      <c r="AD90" s="9" t="n">
        <v>43604.5198</v>
      </c>
      <c r="AE90" s="9" t="n">
        <v>0</v>
      </c>
      <c r="AF90" s="9" t="n">
        <v>75543</v>
      </c>
      <c r="AG90" s="9" t="n">
        <v>177000</v>
      </c>
      <c r="AH90" s="9" t="n">
        <v>179800</v>
      </c>
      <c r="AI90" s="9" t="n">
        <v>190000000</v>
      </c>
      <c r="AJ90" s="9" t="n">
        <v>97000000</v>
      </c>
      <c r="AK90" s="9" t="n">
        <v>53000000</v>
      </c>
      <c r="AL90" s="9" t="n">
        <v>46078779</v>
      </c>
      <c r="AM90" s="9" t="n">
        <v>30000000</v>
      </c>
      <c r="AN90" s="9" t="n">
        <v>70000000</v>
      </c>
      <c r="AO90" s="9" t="n">
        <v>28000000</v>
      </c>
      <c r="AP90" s="9" t="n">
        <v>18883700</v>
      </c>
      <c r="AQ90" s="9" t="n">
        <v>2401</v>
      </c>
      <c r="AR90" s="9" t="n">
        <v>207700</v>
      </c>
      <c r="AS90" s="9" t="n">
        <v>4509</v>
      </c>
    </row>
    <row r="91">
      <c r="A91" s="11" t="n">
        <v>46166</v>
      </c>
      <c r="B91" s="9" t="n">
        <v>4242463222.5</v>
      </c>
      <c r="C91" s="9" t="n">
        <v>85085000</v>
      </c>
      <c r="D91" s="9" t="n">
        <v>0</v>
      </c>
      <c r="E91" s="9" t="n">
        <v>7718000000</v>
      </c>
      <c r="F91" s="9" t="n">
        <v>0</v>
      </c>
      <c r="G91" s="9" t="n">
        <v>4093342500</v>
      </c>
      <c r="H91" s="9" t="n">
        <v>510510000</v>
      </c>
      <c r="I91" s="9" t="n">
        <v>6531250000</v>
      </c>
      <c r="J91" s="9" t="n">
        <v>0</v>
      </c>
      <c r="K91" s="9" t="n">
        <v>0</v>
      </c>
      <c r="L91" s="9" t="n">
        <v>8335805722.5</v>
      </c>
      <c r="M91" s="9" t="n">
        <v>595595000</v>
      </c>
      <c r="N91" s="9" t="n">
        <v>6531250000</v>
      </c>
      <c r="O91" s="9" t="n">
        <v>7718000000</v>
      </c>
      <c r="P91" s="9" t="n">
        <v>0</v>
      </c>
      <c r="Q91" s="9" t="n">
        <v>24969.3463</v>
      </c>
      <c r="R91" s="9" t="n">
        <v>500.7788</v>
      </c>
      <c r="S91" s="9" t="n">
        <v>0</v>
      </c>
      <c r="T91" s="9" t="n">
        <v>45421.8714</v>
      </c>
      <c r="U91" s="9" t="n">
        <v>0</v>
      </c>
      <c r="V91" s="9" t="n">
        <v>24091.7466</v>
      </c>
      <c r="W91" s="9" t="n">
        <v>3004.6729</v>
      </c>
      <c r="X91" s="9" t="n">
        <v>38425.7893</v>
      </c>
      <c r="Y91" s="9" t="n">
        <v>0</v>
      </c>
      <c r="Z91" s="9" t="n">
        <v>0</v>
      </c>
      <c r="AA91" s="9" t="n">
        <v>49061.0929</v>
      </c>
      <c r="AB91" s="9" t="n">
        <v>3505.4517</v>
      </c>
      <c r="AC91" s="9" t="n">
        <v>38425.7893</v>
      </c>
      <c r="AD91" s="9" t="n">
        <v>45421.8714</v>
      </c>
      <c r="AE91" s="9" t="n">
        <v>0</v>
      </c>
      <c r="AF91" s="9" t="n">
        <v>77034.25</v>
      </c>
      <c r="AG91" s="9" t="n">
        <v>169925.5</v>
      </c>
      <c r="AH91" s="9" t="n">
        <v>170170</v>
      </c>
      <c r="AI91" s="9" t="n">
        <v>183117500</v>
      </c>
      <c r="AJ91" s="9" t="n">
        <v>93750000</v>
      </c>
      <c r="AK91" s="9" t="n">
        <v>51375000</v>
      </c>
      <c r="AL91" s="9" t="n">
        <v>44665986.25</v>
      </c>
      <c r="AM91" s="9" t="n">
        <v>30000000</v>
      </c>
      <c r="AN91" s="9" t="n">
        <v>70000000</v>
      </c>
      <c r="AO91" s="9" t="n">
        <v>27000000</v>
      </c>
      <c r="AP91" s="9" t="n">
        <v>18066750</v>
      </c>
      <c r="AQ91" s="9" t="n">
        <v>2612.5</v>
      </c>
      <c r="AR91" s="9" t="n">
        <v>198707.5</v>
      </c>
      <c r="AS91" s="9" t="n">
        <v>4508.75</v>
      </c>
    </row>
    <row r="92">
      <c r="A92" s="11" t="n">
        <v>46167</v>
      </c>
      <c r="B92" s="9" t="n">
        <v>4344429648</v>
      </c>
      <c r="C92" s="9" t="n">
        <v>88250000</v>
      </c>
      <c r="D92" s="9" t="n">
        <v>0</v>
      </c>
      <c r="E92" s="9" t="n">
        <v>7718000000</v>
      </c>
      <c r="F92" s="9" t="n">
        <v>0</v>
      </c>
      <c r="G92" s="9" t="n">
        <v>4157000000</v>
      </c>
      <c r="H92" s="9" t="n">
        <v>529500000</v>
      </c>
      <c r="I92" s="9" t="n">
        <v>6777500000</v>
      </c>
      <c r="J92" s="9" t="n">
        <v>0</v>
      </c>
      <c r="K92" s="9" t="n">
        <v>0</v>
      </c>
      <c r="L92" s="9" t="n">
        <v>8501429648</v>
      </c>
      <c r="M92" s="9" t="n">
        <v>617750000</v>
      </c>
      <c r="N92" s="9" t="n">
        <v>6777500000</v>
      </c>
      <c r="O92" s="9" t="n">
        <v>7718000000</v>
      </c>
      <c r="P92" s="9" t="n">
        <v>0</v>
      </c>
      <c r="Q92" s="9" t="n">
        <v>24782.4033</v>
      </c>
      <c r="R92" s="9" t="n">
        <v>503.4141</v>
      </c>
      <c r="S92" s="9" t="n">
        <v>0</v>
      </c>
      <c r="T92" s="9" t="n">
        <v>44026.6282</v>
      </c>
      <c r="U92" s="9" t="n">
        <v>0</v>
      </c>
      <c r="V92" s="9" t="n">
        <v>23713.228</v>
      </c>
      <c r="W92" s="9" t="n">
        <v>3020.4845</v>
      </c>
      <c r="X92" s="9" t="n">
        <v>38661.6316</v>
      </c>
      <c r="Y92" s="9" t="n">
        <v>0</v>
      </c>
      <c r="Z92" s="9" t="n">
        <v>0</v>
      </c>
      <c r="AA92" s="9" t="n">
        <v>48495.6313</v>
      </c>
      <c r="AB92" s="9" t="n">
        <v>3523.8986</v>
      </c>
      <c r="AC92" s="9" t="n">
        <v>38661.6316</v>
      </c>
      <c r="AD92" s="9" t="n">
        <v>44026.6282</v>
      </c>
      <c r="AE92" s="9" t="n">
        <v>0</v>
      </c>
      <c r="AF92" s="9" t="n">
        <v>77514</v>
      </c>
      <c r="AG92" s="9" t="n">
        <v>175303</v>
      </c>
      <c r="AH92" s="9" t="n">
        <v>176500</v>
      </c>
      <c r="AI92" s="9" t="n">
        <v>186000000</v>
      </c>
      <c r="AJ92" s="9" t="n">
        <v>93500000</v>
      </c>
      <c r="AK92" s="9" t="n">
        <v>52500000</v>
      </c>
      <c r="AL92" s="9" t="n">
        <v>45644074</v>
      </c>
      <c r="AM92" s="9" t="n">
        <v>30000000</v>
      </c>
      <c r="AN92" s="9" t="n">
        <v>70000000</v>
      </c>
      <c r="AO92" s="9" t="n">
        <v>26000000</v>
      </c>
      <c r="AP92" s="9" t="n">
        <v>18625100</v>
      </c>
      <c r="AQ92" s="9" t="n">
        <v>2711</v>
      </c>
      <c r="AR92" s="9" t="n">
        <v>197270</v>
      </c>
      <c r="AS92" s="9" t="n">
        <v>4553</v>
      </c>
    </row>
    <row r="93">
      <c r="A93" s="11" t="n">
        <v>46169</v>
      </c>
      <c r="B93" s="9" t="n">
        <v>4300627398</v>
      </c>
      <c r="C93" s="9" t="n">
        <v>86696250</v>
      </c>
      <c r="D93" s="9" t="n">
        <v>0</v>
      </c>
      <c r="E93" s="9" t="n">
        <v>7718000000</v>
      </c>
      <c r="F93" s="9" t="n">
        <v>0</v>
      </c>
      <c r="G93" s="9" t="n">
        <v>4094500000</v>
      </c>
      <c r="H93" s="9" t="n">
        <v>520177500</v>
      </c>
      <c r="I93" s="9" t="n">
        <v>6960000000</v>
      </c>
      <c r="J93" s="9" t="n">
        <v>0</v>
      </c>
      <c r="K93" s="9" t="n">
        <v>0</v>
      </c>
      <c r="L93" s="9" t="n">
        <v>8395127398</v>
      </c>
      <c r="M93" s="9" t="n">
        <v>606873750</v>
      </c>
      <c r="N93" s="9" t="n">
        <v>6960000000</v>
      </c>
      <c r="O93" s="9" t="n">
        <v>7718000000</v>
      </c>
      <c r="P93" s="9" t="n">
        <v>0</v>
      </c>
      <c r="Q93" s="9" t="n">
        <v>24969.2598</v>
      </c>
      <c r="R93" s="9" t="n">
        <v>503.3547</v>
      </c>
      <c r="S93" s="9" t="n">
        <v>0</v>
      </c>
      <c r="T93" s="9" t="n">
        <v>44810.3807</v>
      </c>
      <c r="U93" s="9" t="n">
        <v>0</v>
      </c>
      <c r="V93" s="9" t="n">
        <v>23772.4923</v>
      </c>
      <c r="W93" s="9" t="n">
        <v>3020.1283</v>
      </c>
      <c r="X93" s="9" t="n">
        <v>40409.4649</v>
      </c>
      <c r="Y93" s="9" t="n">
        <v>0</v>
      </c>
      <c r="Z93" s="9" t="n">
        <v>0</v>
      </c>
      <c r="AA93" s="9" t="n">
        <v>48741.7522</v>
      </c>
      <c r="AB93" s="9" t="n">
        <v>3523.483</v>
      </c>
      <c r="AC93" s="9" t="n">
        <v>40409.4649</v>
      </c>
      <c r="AD93" s="9" t="n">
        <v>44810.3807</v>
      </c>
      <c r="AE93" s="9" t="n">
        <v>0</v>
      </c>
      <c r="AF93" s="9" t="n">
        <v>75422.5</v>
      </c>
      <c r="AG93" s="9" t="n">
        <v>172237</v>
      </c>
      <c r="AH93" s="9" t="n">
        <v>173392.5</v>
      </c>
      <c r="AI93" s="9" t="n">
        <v>183000000</v>
      </c>
      <c r="AJ93" s="9" t="n">
        <v>94000000</v>
      </c>
      <c r="AK93" s="9" t="n">
        <v>52500000</v>
      </c>
      <c r="AL93" s="9" t="n">
        <v>45644074</v>
      </c>
      <c r="AM93" s="9" t="n">
        <v>30000000</v>
      </c>
      <c r="AN93" s="9" t="n">
        <v>70000000</v>
      </c>
      <c r="AO93" s="9" t="n">
        <v>27500000</v>
      </c>
      <c r="AP93" s="9" t="n">
        <v>18341450</v>
      </c>
      <c r="AQ93" s="9" t="n">
        <v>2784</v>
      </c>
      <c r="AR93" s="9" t="n">
        <v>202125</v>
      </c>
      <c r="AS93" s="9" t="n">
        <v>4447.5</v>
      </c>
    </row>
    <row r="94">
      <c r="A94" s="11" t="n">
        <v>46171</v>
      </c>
      <c r="B94" s="9" t="n">
        <v>4262629148</v>
      </c>
      <c r="C94" s="9" t="n">
        <v>87250000</v>
      </c>
      <c r="D94" s="9" t="n">
        <v>0</v>
      </c>
      <c r="E94" s="9" t="n">
        <v>7718000000</v>
      </c>
      <c r="F94" s="9" t="n">
        <v>0</v>
      </c>
      <c r="G94" s="9" t="n">
        <v>4062895000</v>
      </c>
      <c r="H94" s="9" t="n">
        <v>523500000</v>
      </c>
      <c r="I94" s="9" t="n">
        <v>6960000000</v>
      </c>
      <c r="J94" s="9" t="n">
        <v>0</v>
      </c>
      <c r="K94" s="9" t="n">
        <v>0</v>
      </c>
      <c r="L94" s="9" t="n">
        <v>8325524148</v>
      </c>
      <c r="M94" s="9" t="n">
        <v>610750000</v>
      </c>
      <c r="N94" s="9" t="n">
        <v>6960000000</v>
      </c>
      <c r="O94" s="9" t="n">
        <v>7718000000</v>
      </c>
      <c r="P94" s="9" t="n">
        <v>0</v>
      </c>
      <c r="Q94" s="9" t="n">
        <v>24639.4748</v>
      </c>
      <c r="R94" s="9" t="n">
        <v>504.3353</v>
      </c>
      <c r="S94" s="9" t="n">
        <v>0</v>
      </c>
      <c r="T94" s="9" t="n">
        <v>44612.7168</v>
      </c>
      <c r="U94" s="9" t="n">
        <v>0</v>
      </c>
      <c r="V94" s="9" t="n">
        <v>23484.9422</v>
      </c>
      <c r="W94" s="9" t="n">
        <v>3026.0116</v>
      </c>
      <c r="X94" s="9" t="n">
        <v>40231.2139</v>
      </c>
      <c r="Y94" s="9" t="n">
        <v>0</v>
      </c>
      <c r="Z94" s="9" t="n">
        <v>0</v>
      </c>
      <c r="AA94" s="9" t="n">
        <v>48124.417</v>
      </c>
      <c r="AB94" s="9" t="n">
        <v>3530.3468</v>
      </c>
      <c r="AC94" s="9" t="n">
        <v>40231.2139</v>
      </c>
      <c r="AD94" s="9" t="n">
        <v>44612.7168</v>
      </c>
      <c r="AE94" s="9" t="n">
        <v>0</v>
      </c>
      <c r="AF94" s="9" t="n">
        <v>73697</v>
      </c>
      <c r="AG94" s="9" t="n">
        <v>173000</v>
      </c>
      <c r="AH94" s="9" t="n">
        <v>174500</v>
      </c>
      <c r="AI94" s="9" t="n">
        <v>181495000</v>
      </c>
      <c r="AJ94" s="9" t="n">
        <v>94000000</v>
      </c>
      <c r="AK94" s="9" t="n">
        <v>52500000</v>
      </c>
      <c r="AL94" s="9" t="n">
        <v>45644074</v>
      </c>
      <c r="AM94" s="9" t="n">
        <v>30000000</v>
      </c>
      <c r="AN94" s="9" t="n">
        <v>70000000</v>
      </c>
      <c r="AO94" s="9" t="n">
        <v>27000000</v>
      </c>
      <c r="AP94" s="9" t="n">
        <v>18132400</v>
      </c>
      <c r="AQ94" s="9" t="n">
        <v>2784</v>
      </c>
      <c r="AR94" s="9" t="n">
        <v>203050</v>
      </c>
      <c r="AS94" s="9" t="n">
        <v>4514</v>
      </c>
    </row>
    <row r="95">
      <c r="A95" s="11" t="n">
        <v>46172</v>
      </c>
      <c r="B95" s="9" t="n">
        <v>4245067192</v>
      </c>
      <c r="C95" s="9" t="n">
        <v>85617500</v>
      </c>
      <c r="D95" s="9" t="n">
        <v>0</v>
      </c>
      <c r="E95" s="9" t="n">
        <v>7718000000</v>
      </c>
      <c r="F95" s="9" t="n">
        <v>0</v>
      </c>
      <c r="G95" s="9" t="n">
        <v>4061540000</v>
      </c>
      <c r="H95" s="9" t="n">
        <v>513705000</v>
      </c>
      <c r="I95" s="9" t="n">
        <v>7055000000</v>
      </c>
      <c r="J95" s="9" t="n">
        <v>0</v>
      </c>
      <c r="K95" s="9" t="n">
        <v>0</v>
      </c>
      <c r="L95" s="9" t="n">
        <v>8306607192</v>
      </c>
      <c r="M95" s="9" t="n">
        <v>599322500</v>
      </c>
      <c r="N95" s="9" t="n">
        <v>7055000000</v>
      </c>
      <c r="O95" s="9" t="n">
        <v>7718000000</v>
      </c>
      <c r="P95" s="9" t="n">
        <v>0</v>
      </c>
      <c r="Q95" s="9" t="n">
        <v>24872.9659</v>
      </c>
      <c r="R95" s="9" t="n">
        <v>501.6547</v>
      </c>
      <c r="S95" s="9" t="n">
        <v>0</v>
      </c>
      <c r="T95" s="9" t="n">
        <v>45221.9803</v>
      </c>
      <c r="U95" s="9" t="n">
        <v>0</v>
      </c>
      <c r="V95" s="9" t="n">
        <v>23797.4826</v>
      </c>
      <c r="W95" s="9" t="n">
        <v>3009.9284</v>
      </c>
      <c r="X95" s="9" t="n">
        <v>41337.2727</v>
      </c>
      <c r="Y95" s="9" t="n">
        <v>0</v>
      </c>
      <c r="Z95" s="9" t="n">
        <v>0</v>
      </c>
      <c r="AA95" s="9" t="n">
        <v>48670.4486</v>
      </c>
      <c r="AB95" s="9" t="n">
        <v>3511.5831</v>
      </c>
      <c r="AC95" s="9" t="n">
        <v>41337.2727</v>
      </c>
      <c r="AD95" s="9" t="n">
        <v>45221.9803</v>
      </c>
      <c r="AE95" s="9" t="n">
        <v>0</v>
      </c>
      <c r="AF95" s="9" t="n">
        <v>73791</v>
      </c>
      <c r="AG95" s="9" t="n">
        <v>170669.5</v>
      </c>
      <c r="AH95" s="9" t="n">
        <v>171235</v>
      </c>
      <c r="AI95" s="9" t="n">
        <v>181490000</v>
      </c>
      <c r="AJ95" s="9" t="n">
        <v>93500000</v>
      </c>
      <c r="AK95" s="9" t="n">
        <v>52250000</v>
      </c>
      <c r="AL95" s="9" t="n">
        <v>45426721</v>
      </c>
      <c r="AM95" s="9" t="n">
        <v>30000000</v>
      </c>
      <c r="AN95" s="9" t="n">
        <v>70000000</v>
      </c>
      <c r="AO95" s="9" t="n">
        <v>27000000</v>
      </c>
      <c r="AP95" s="9" t="n">
        <v>18040750</v>
      </c>
      <c r="AQ95" s="9" t="n">
        <v>2822</v>
      </c>
      <c r="AR95" s="9" t="n">
        <v>199720</v>
      </c>
      <c r="AS95" s="9" t="n">
        <v>4539</v>
      </c>
    </row>
    <row r="96">
      <c r="A96" s="11" t="n">
        <v>46173</v>
      </c>
      <c r="B96" s="9" t="n">
        <v>4231417236</v>
      </c>
      <c r="C96" s="9" t="n">
        <v>85245000</v>
      </c>
      <c r="D96" s="9" t="n">
        <v>0</v>
      </c>
      <c r="E96" s="9" t="n">
        <v>7718000000</v>
      </c>
      <c r="F96" s="9" t="n">
        <v>0</v>
      </c>
      <c r="G96" s="9" t="n">
        <v>4028685000</v>
      </c>
      <c r="H96" s="9" t="n">
        <v>511470000</v>
      </c>
      <c r="I96" s="9" t="n">
        <v>7055000000</v>
      </c>
      <c r="J96" s="9" t="n">
        <v>0</v>
      </c>
      <c r="K96" s="9" t="n">
        <v>0</v>
      </c>
      <c r="L96" s="9" t="n">
        <v>8260102236</v>
      </c>
      <c r="M96" s="9" t="n">
        <v>596715000</v>
      </c>
      <c r="N96" s="9" t="n">
        <v>7055000000</v>
      </c>
      <c r="O96" s="9" t="n">
        <v>7718000000</v>
      </c>
      <c r="P96" s="9" t="n">
        <v>0</v>
      </c>
      <c r="Q96" s="9" t="n">
        <v>24824.9765</v>
      </c>
      <c r="R96" s="9" t="n">
        <v>500.1173</v>
      </c>
      <c r="S96" s="9" t="n">
        <v>0</v>
      </c>
      <c r="T96" s="9" t="n">
        <v>45280.1408</v>
      </c>
      <c r="U96" s="9" t="n">
        <v>0</v>
      </c>
      <c r="V96" s="9" t="n">
        <v>23635.5823</v>
      </c>
      <c r="W96" s="9" t="n">
        <v>3000.704</v>
      </c>
      <c r="X96" s="9" t="n">
        <v>41390.4371</v>
      </c>
      <c r="Y96" s="9" t="n">
        <v>0</v>
      </c>
      <c r="Z96" s="9" t="n">
        <v>0</v>
      </c>
      <c r="AA96" s="9" t="n">
        <v>48460.5587</v>
      </c>
      <c r="AB96" s="9" t="n">
        <v>3500.8214</v>
      </c>
      <c r="AC96" s="9" t="n">
        <v>41390.4371</v>
      </c>
      <c r="AD96" s="9" t="n">
        <v>45280.1408</v>
      </c>
      <c r="AE96" s="9" t="n">
        <v>0</v>
      </c>
      <c r="AF96" s="9" t="n">
        <v>74025</v>
      </c>
      <c r="AG96" s="9" t="n">
        <v>170450</v>
      </c>
      <c r="AH96" s="9" t="n">
        <v>170490</v>
      </c>
      <c r="AI96" s="9" t="n">
        <v>179985000</v>
      </c>
      <c r="AJ96" s="9" t="n">
        <v>93000000</v>
      </c>
      <c r="AK96" s="9" t="n">
        <v>52000000</v>
      </c>
      <c r="AL96" s="9" t="n">
        <v>45209368</v>
      </c>
      <c r="AM96" s="9" t="n">
        <v>30000000</v>
      </c>
      <c r="AN96" s="9" t="n">
        <v>70000000</v>
      </c>
      <c r="AO96" s="9" t="n">
        <v>27000000</v>
      </c>
      <c r="AP96" s="9" t="n">
        <v>17981900</v>
      </c>
      <c r="AQ96" s="9" t="n">
        <v>2822</v>
      </c>
      <c r="AR96" s="9" t="n">
        <v>198860</v>
      </c>
      <c r="AS96" s="9" t="n">
        <v>4539</v>
      </c>
    </row>
    <row r="97">
      <c r="A97" s="11" t="n">
        <v>46174</v>
      </c>
      <c r="B97" s="9" t="n">
        <v>4253322736</v>
      </c>
      <c r="C97" s="9" t="n">
        <v>85242500</v>
      </c>
      <c r="D97" s="9" t="n">
        <v>0</v>
      </c>
      <c r="E97" s="9" t="n">
        <v>7718000000</v>
      </c>
      <c r="F97" s="9" t="n">
        <v>0</v>
      </c>
      <c r="G97" s="9" t="n">
        <v>4007175000</v>
      </c>
      <c r="H97" s="9" t="n">
        <v>511455000</v>
      </c>
      <c r="I97" s="9" t="n">
        <v>7376250000</v>
      </c>
      <c r="J97" s="9" t="n">
        <v>0</v>
      </c>
      <c r="K97" s="9" t="n">
        <v>0</v>
      </c>
      <c r="L97" s="9" t="n">
        <v>8260497736</v>
      </c>
      <c r="M97" s="9" t="n">
        <v>596697500</v>
      </c>
      <c r="N97" s="9" t="n">
        <v>7376250000</v>
      </c>
      <c r="O97" s="9" t="n">
        <v>7718000000</v>
      </c>
      <c r="P97" s="9" t="n">
        <v>0</v>
      </c>
      <c r="Q97" s="9" t="n">
        <v>24593.7837</v>
      </c>
      <c r="R97" s="9" t="n">
        <v>492.8936</v>
      </c>
      <c r="S97" s="9" t="n">
        <v>0</v>
      </c>
      <c r="T97" s="9" t="n">
        <v>44627.4206</v>
      </c>
      <c r="U97" s="9" t="n">
        <v>0</v>
      </c>
      <c r="V97" s="9" t="n">
        <v>23170.4955</v>
      </c>
      <c r="W97" s="9" t="n">
        <v>2957.3617</v>
      </c>
      <c r="X97" s="9" t="n">
        <v>42651.336</v>
      </c>
      <c r="Y97" s="9" t="n">
        <v>0</v>
      </c>
      <c r="Z97" s="9" t="n">
        <v>0</v>
      </c>
      <c r="AA97" s="9" t="n">
        <v>47764.2792</v>
      </c>
      <c r="AB97" s="9" t="n">
        <v>3450.2553</v>
      </c>
      <c r="AC97" s="9" t="n">
        <v>42651.336</v>
      </c>
      <c r="AD97" s="9" t="n">
        <v>44627.4206</v>
      </c>
      <c r="AE97" s="9" t="n">
        <v>0</v>
      </c>
      <c r="AF97" s="9" t="n">
        <v>73184</v>
      </c>
      <c r="AG97" s="9" t="n">
        <v>172943</v>
      </c>
      <c r="AH97" s="9" t="n">
        <v>170485</v>
      </c>
      <c r="AI97" s="9" t="n">
        <v>179005000</v>
      </c>
      <c r="AJ97" s="9" t="n">
        <v>92070000</v>
      </c>
      <c r="AK97" s="9" t="n">
        <v>52000000</v>
      </c>
      <c r="AL97" s="9" t="n">
        <v>45209368</v>
      </c>
      <c r="AM97" s="9" t="n">
        <v>30000000</v>
      </c>
      <c r="AN97" s="9" t="n">
        <v>70000000</v>
      </c>
      <c r="AO97" s="9" t="n">
        <v>27000000</v>
      </c>
      <c r="AP97" s="9" t="n">
        <v>18120600</v>
      </c>
      <c r="AQ97" s="9" t="n">
        <v>2950.5</v>
      </c>
      <c r="AR97" s="9" t="n">
        <v>198870</v>
      </c>
      <c r="AS97" s="9" t="n">
        <v>4510.5</v>
      </c>
    </row>
    <row r="98">
      <c r="A98" s="11" t="n">
        <v>46175</v>
      </c>
      <c r="B98" s="9" t="n">
        <v>4364181792</v>
      </c>
      <c r="C98" s="9" t="n">
        <v>88090000</v>
      </c>
      <c r="D98" s="9" t="n">
        <v>0</v>
      </c>
      <c r="E98" s="9" t="n">
        <v>7718000000</v>
      </c>
      <c r="F98" s="9" t="n">
        <v>0</v>
      </c>
      <c r="G98" s="9" t="n">
        <v>4184790000</v>
      </c>
      <c r="H98" s="9" t="n">
        <v>528540000</v>
      </c>
      <c r="I98" s="9" t="n">
        <v>7542500000</v>
      </c>
      <c r="J98" s="9" t="n">
        <v>0</v>
      </c>
      <c r="K98" s="9" t="n">
        <v>0</v>
      </c>
      <c r="L98" s="9" t="n">
        <v>8548971792</v>
      </c>
      <c r="M98" s="9" t="n">
        <v>616630000</v>
      </c>
      <c r="N98" s="9" t="n">
        <v>7542500000</v>
      </c>
      <c r="O98" s="9" t="n">
        <v>7718000000</v>
      </c>
      <c r="P98" s="9" t="n">
        <v>0</v>
      </c>
      <c r="Q98" s="9" t="n">
        <v>25068.9701</v>
      </c>
      <c r="R98" s="9" t="n">
        <v>506.0114</v>
      </c>
      <c r="S98" s="9" t="n">
        <v>0</v>
      </c>
      <c r="T98" s="9" t="n">
        <v>44334.1548</v>
      </c>
      <c r="U98" s="9" t="n">
        <v>0</v>
      </c>
      <c r="V98" s="9" t="n">
        <v>24038.498</v>
      </c>
      <c r="W98" s="9" t="n">
        <v>3036.0682</v>
      </c>
      <c r="X98" s="9" t="n">
        <v>43326.0381</v>
      </c>
      <c r="Y98" s="9" t="n">
        <v>0</v>
      </c>
      <c r="Z98" s="9" t="n">
        <v>0</v>
      </c>
      <c r="AA98" s="9" t="n">
        <v>49107.4681</v>
      </c>
      <c r="AB98" s="9" t="n">
        <v>3542.0795</v>
      </c>
      <c r="AC98" s="9" t="n">
        <v>43326.0381</v>
      </c>
      <c r="AD98" s="9" t="n">
        <v>44334.1548</v>
      </c>
      <c r="AE98" s="9" t="n">
        <v>0</v>
      </c>
      <c r="AF98" s="9" t="n">
        <v>70266</v>
      </c>
      <c r="AG98" s="9" t="n">
        <v>174087</v>
      </c>
      <c r="AH98" s="9" t="n">
        <v>176180</v>
      </c>
      <c r="AI98" s="9" t="n">
        <v>186990000</v>
      </c>
      <c r="AJ98" s="9" t="n">
        <v>94500000</v>
      </c>
      <c r="AK98" s="9" t="n">
        <v>54500000</v>
      </c>
      <c r="AL98" s="9" t="n">
        <v>47382896</v>
      </c>
      <c r="AM98" s="9" t="n">
        <v>30000000</v>
      </c>
      <c r="AN98" s="9" t="n">
        <v>70000000</v>
      </c>
      <c r="AO98" s="9" t="n">
        <v>27500000</v>
      </c>
      <c r="AP98" s="9" t="n">
        <v>18584400</v>
      </c>
      <c r="AQ98" s="9" t="n">
        <v>3017</v>
      </c>
      <c r="AR98" s="9" t="n">
        <v>204800</v>
      </c>
      <c r="AS98" s="9" t="n">
        <v>4522</v>
      </c>
    </row>
    <row r="99">
      <c r="A99" s="11" t="n">
        <v>46176</v>
      </c>
      <c r="B99" s="9" t="n">
        <v>4305931058</v>
      </c>
      <c r="C99" s="9" t="n">
        <v>86995000</v>
      </c>
      <c r="D99" s="9" t="n">
        <v>0</v>
      </c>
      <c r="E99" s="9" t="n">
        <v>7718000000</v>
      </c>
      <c r="F99" s="9" t="n">
        <v>0</v>
      </c>
      <c r="G99" s="9" t="n">
        <v>4105605000</v>
      </c>
      <c r="H99" s="9" t="n">
        <v>521970000</v>
      </c>
      <c r="I99" s="9" t="n">
        <v>7350000000</v>
      </c>
      <c r="J99" s="9" t="n">
        <v>0</v>
      </c>
      <c r="K99" s="9" t="n">
        <v>0</v>
      </c>
      <c r="L99" s="9" t="n">
        <v>8411536058</v>
      </c>
      <c r="M99" s="9" t="n">
        <v>608965000</v>
      </c>
      <c r="N99" s="9" t="n">
        <v>7350000000</v>
      </c>
      <c r="O99" s="9" t="n">
        <v>7718000000</v>
      </c>
      <c r="P99" s="9" t="n">
        <v>0</v>
      </c>
      <c r="Q99" s="9" t="n">
        <v>24969.4462</v>
      </c>
      <c r="R99" s="9" t="n">
        <v>504.4709</v>
      </c>
      <c r="S99" s="9" t="n">
        <v>0</v>
      </c>
      <c r="T99" s="9" t="n">
        <v>44755.5205</v>
      </c>
      <c r="U99" s="9" t="n">
        <v>0</v>
      </c>
      <c r="V99" s="9" t="n">
        <v>23807.7855</v>
      </c>
      <c r="W99" s="9" t="n">
        <v>3026.8255</v>
      </c>
      <c r="X99" s="9" t="n">
        <v>42621.5439</v>
      </c>
      <c r="Y99" s="9" t="n">
        <v>0</v>
      </c>
      <c r="Z99" s="9" t="n">
        <v>0</v>
      </c>
      <c r="AA99" s="9" t="n">
        <v>48777.2317</v>
      </c>
      <c r="AB99" s="9" t="n">
        <v>3531.2964</v>
      </c>
      <c r="AC99" s="9" t="n">
        <v>42621.5439</v>
      </c>
      <c r="AD99" s="9" t="n">
        <v>44755.5205</v>
      </c>
      <c r="AE99" s="9" t="n">
        <v>0</v>
      </c>
      <c r="AF99" s="9" t="n">
        <v>66929</v>
      </c>
      <c r="AG99" s="9" t="n">
        <v>172448</v>
      </c>
      <c r="AH99" s="9" t="n">
        <v>173990</v>
      </c>
      <c r="AI99" s="9" t="n">
        <v>183505000</v>
      </c>
      <c r="AJ99" s="9" t="n">
        <v>93000000</v>
      </c>
      <c r="AK99" s="9" t="n">
        <v>53000000</v>
      </c>
      <c r="AL99" s="9" t="n">
        <v>46078779</v>
      </c>
      <c r="AM99" s="9" t="n">
        <v>30000000</v>
      </c>
      <c r="AN99" s="9" t="n">
        <v>70000000</v>
      </c>
      <c r="AO99" s="9" t="n">
        <v>28000000</v>
      </c>
      <c r="AP99" s="9" t="n">
        <v>18328900</v>
      </c>
      <c r="AQ99" s="9" t="n">
        <v>2940</v>
      </c>
      <c r="AR99" s="9" t="n">
        <v>201870</v>
      </c>
      <c r="AS99" s="9" t="n">
        <v>4446</v>
      </c>
    </row>
    <row r="100">
      <c r="A100" s="11" t="n">
        <v>46177</v>
      </c>
      <c r="B100" s="9" t="n">
        <v>4297351058</v>
      </c>
      <c r="C100" s="9" t="n">
        <v>87210000</v>
      </c>
      <c r="D100" s="9" t="n">
        <v>0</v>
      </c>
      <c r="E100" s="9" t="n">
        <v>7718000000</v>
      </c>
      <c r="F100" s="9" t="n">
        <v>0</v>
      </c>
      <c r="G100" s="9" t="n">
        <v>4105605000</v>
      </c>
      <c r="H100" s="9" t="n">
        <v>523260000</v>
      </c>
      <c r="I100" s="9" t="n">
        <v>7350000000</v>
      </c>
      <c r="J100" s="9" t="n">
        <v>0</v>
      </c>
      <c r="K100" s="9" t="n">
        <v>0</v>
      </c>
      <c r="L100" s="9" t="n">
        <v>8402956058</v>
      </c>
      <c r="M100" s="9" t="n">
        <v>610470000</v>
      </c>
      <c r="N100" s="9" t="n">
        <v>7350000000</v>
      </c>
      <c r="O100" s="9" t="n">
        <v>7718000000</v>
      </c>
      <c r="P100" s="9" t="n">
        <v>0</v>
      </c>
      <c r="Q100" s="9" t="n">
        <v>24973.5643</v>
      </c>
      <c r="R100" s="9" t="n">
        <v>506.8109</v>
      </c>
      <c r="S100" s="9" t="n">
        <v>0</v>
      </c>
      <c r="T100" s="9" t="n">
        <v>44852.2746</v>
      </c>
      <c r="U100" s="9" t="n">
        <v>0</v>
      </c>
      <c r="V100" s="9" t="n">
        <v>23859.2541</v>
      </c>
      <c r="W100" s="9" t="n">
        <v>3040.8657</v>
      </c>
      <c r="X100" s="9" t="n">
        <v>42713.6847</v>
      </c>
      <c r="Y100" s="9" t="n">
        <v>0</v>
      </c>
      <c r="Z100" s="9" t="n">
        <v>0</v>
      </c>
      <c r="AA100" s="9" t="n">
        <v>48832.8184</v>
      </c>
      <c r="AB100" s="9" t="n">
        <v>3547.6766</v>
      </c>
      <c r="AC100" s="9" t="n">
        <v>42713.6847</v>
      </c>
      <c r="AD100" s="9" t="n">
        <v>44852.2746</v>
      </c>
      <c r="AE100" s="9" t="n">
        <v>0</v>
      </c>
      <c r="AF100" s="9" t="n">
        <v>63818</v>
      </c>
      <c r="AG100" s="9" t="n">
        <v>172076</v>
      </c>
      <c r="AH100" s="9" t="n">
        <v>174420</v>
      </c>
      <c r="AI100" s="9" t="n">
        <v>183505000</v>
      </c>
      <c r="AJ100" s="9" t="n">
        <v>93000000</v>
      </c>
      <c r="AK100" s="9" t="n">
        <v>53000000</v>
      </c>
      <c r="AL100" s="9" t="n">
        <v>46078779</v>
      </c>
      <c r="AM100" s="9" t="n">
        <v>30000000</v>
      </c>
      <c r="AN100" s="9" t="n">
        <v>70000000</v>
      </c>
      <c r="AO100" s="9" t="n">
        <v>28000000</v>
      </c>
      <c r="AP100" s="9" t="n">
        <v>18276900</v>
      </c>
      <c r="AQ100" s="9" t="n">
        <v>2940</v>
      </c>
      <c r="AR100" s="9" t="n">
        <v>202000</v>
      </c>
      <c r="AS100" s="9" t="n">
        <v>4509</v>
      </c>
    </row>
    <row r="101">
      <c r="A101" s="11" t="n">
        <v>46181</v>
      </c>
      <c r="B101" s="9" t="n">
        <v>4266444970</v>
      </c>
      <c r="C101" s="9" t="n">
        <v>88700000</v>
      </c>
      <c r="D101" s="9" t="n">
        <v>0</v>
      </c>
      <c r="E101" s="9" t="n">
        <v>7718000000</v>
      </c>
      <c r="F101" s="9" t="n">
        <v>0</v>
      </c>
      <c r="G101" s="9" t="n">
        <v>4096790000</v>
      </c>
      <c r="H101" s="9" t="n">
        <v>532200000</v>
      </c>
      <c r="I101" s="9" t="n">
        <v>7297500000</v>
      </c>
      <c r="J101" s="9" t="n">
        <v>0</v>
      </c>
      <c r="K101" s="9" t="n">
        <v>0</v>
      </c>
      <c r="L101" s="9" t="n">
        <v>8363234970</v>
      </c>
      <c r="M101" s="9" t="n">
        <v>620900000</v>
      </c>
      <c r="N101" s="9" t="n">
        <v>7297500000</v>
      </c>
      <c r="O101" s="9" t="n">
        <v>7718000000</v>
      </c>
      <c r="P101" s="9" t="n">
        <v>0</v>
      </c>
      <c r="Q101" s="9" t="n">
        <v>24018.989</v>
      </c>
      <c r="R101" s="9" t="n">
        <v>499.3582</v>
      </c>
      <c r="S101" s="9" t="n">
        <v>0</v>
      </c>
      <c r="T101" s="9" t="n">
        <v>43450.3569</v>
      </c>
      <c r="U101" s="9" t="n">
        <v>0</v>
      </c>
      <c r="V101" s="9" t="n">
        <v>23063.8751</v>
      </c>
      <c r="W101" s="9" t="n">
        <v>2996.1493</v>
      </c>
      <c r="X101" s="9" t="n">
        <v>41083.05</v>
      </c>
      <c r="Y101" s="9" t="n">
        <v>0</v>
      </c>
      <c r="Z101" s="9" t="n">
        <v>0</v>
      </c>
      <c r="AA101" s="9" t="n">
        <v>47082.864</v>
      </c>
      <c r="AB101" s="9" t="n">
        <v>3495.5075</v>
      </c>
      <c r="AC101" s="9" t="n">
        <v>41083.05</v>
      </c>
      <c r="AD101" s="9" t="n">
        <v>43450.3569</v>
      </c>
      <c r="AE101" s="9" t="n">
        <v>0</v>
      </c>
      <c r="AF101" s="9" t="n">
        <v>63499</v>
      </c>
      <c r="AG101" s="9" t="n">
        <v>177628</v>
      </c>
      <c r="AH101" s="9" t="n">
        <v>177400</v>
      </c>
      <c r="AI101" s="9" t="n">
        <v>182990000</v>
      </c>
      <c r="AJ101" s="9" t="n">
        <v>93500000</v>
      </c>
      <c r="AK101" s="9" t="n">
        <v>53500000</v>
      </c>
      <c r="AL101" s="9" t="n">
        <v>46513485</v>
      </c>
      <c r="AM101" s="9" t="n">
        <v>30000000</v>
      </c>
      <c r="AN101" s="9" t="n">
        <v>70000000</v>
      </c>
      <c r="AO101" s="9" t="n">
        <v>28000000</v>
      </c>
      <c r="AP101" s="9" t="n">
        <v>18063200</v>
      </c>
      <c r="AQ101" s="9" t="n">
        <v>2919</v>
      </c>
      <c r="AR101" s="9" t="n">
        <v>204810</v>
      </c>
      <c r="AS101" s="9" t="n">
        <v>4326</v>
      </c>
    </row>
    <row r="102">
      <c r="A102" s="11" t="n">
        <v>46183</v>
      </c>
      <c r="B102" s="9" t="n">
        <v>4221288236</v>
      </c>
      <c r="C102" s="9" t="n">
        <v>89255000</v>
      </c>
      <c r="D102" s="9" t="n">
        <v>0</v>
      </c>
      <c r="E102" s="9" t="n">
        <v>7718000000</v>
      </c>
      <c r="F102" s="9" t="n">
        <v>0</v>
      </c>
      <c r="G102" s="9" t="n">
        <v>4049210000</v>
      </c>
      <c r="H102" s="9" t="n">
        <v>535530000</v>
      </c>
      <c r="I102" s="9" t="n">
        <v>7740000000</v>
      </c>
      <c r="J102" s="9" t="n">
        <v>0</v>
      </c>
      <c r="K102" s="9" t="n">
        <v>0</v>
      </c>
      <c r="L102" s="9" t="n">
        <v>8270498236</v>
      </c>
      <c r="M102" s="9" t="n">
        <v>624785000</v>
      </c>
      <c r="N102" s="9" t="n">
        <v>7740000000</v>
      </c>
      <c r="O102" s="9" t="n">
        <v>7718000000</v>
      </c>
      <c r="P102" s="9" t="n">
        <v>0</v>
      </c>
      <c r="Q102" s="9" t="n">
        <v>23618.9019</v>
      </c>
      <c r="R102" s="9" t="n">
        <v>499.3985</v>
      </c>
      <c r="S102" s="9" t="n">
        <v>0</v>
      </c>
      <c r="T102" s="9" t="n">
        <v>43183.6621</v>
      </c>
      <c r="U102" s="9" t="n">
        <v>0</v>
      </c>
      <c r="V102" s="9" t="n">
        <v>22656.0918</v>
      </c>
      <c r="W102" s="9" t="n">
        <v>2996.3911</v>
      </c>
      <c r="X102" s="9" t="n">
        <v>43306.7562</v>
      </c>
      <c r="Y102" s="9" t="n">
        <v>0</v>
      </c>
      <c r="Z102" s="9" t="n">
        <v>0</v>
      </c>
      <c r="AA102" s="9" t="n">
        <v>46274.9936</v>
      </c>
      <c r="AB102" s="9" t="n">
        <v>3495.7896</v>
      </c>
      <c r="AC102" s="9" t="n">
        <v>43306.7562</v>
      </c>
      <c r="AD102" s="9" t="n">
        <v>43183.6621</v>
      </c>
      <c r="AE102" s="9" t="n">
        <v>0</v>
      </c>
      <c r="AF102" s="9" t="n">
        <v>61907</v>
      </c>
      <c r="AG102" s="9" t="n">
        <v>178725</v>
      </c>
      <c r="AH102" s="9" t="n">
        <v>178510</v>
      </c>
      <c r="AI102" s="9" t="n">
        <v>181010000</v>
      </c>
      <c r="AJ102" s="9" t="n">
        <v>92000000</v>
      </c>
      <c r="AK102" s="9" t="n">
        <v>52000000</v>
      </c>
      <c r="AL102" s="9" t="n">
        <v>45209368</v>
      </c>
      <c r="AM102" s="9" t="n">
        <v>30000000</v>
      </c>
      <c r="AN102" s="9" t="n">
        <v>70000000</v>
      </c>
      <c r="AO102" s="9" t="n">
        <v>27000000</v>
      </c>
      <c r="AP102" s="9" t="n">
        <v>17914300</v>
      </c>
      <c r="AQ102" s="9" t="n">
        <v>3096</v>
      </c>
      <c r="AR102" s="9" t="n">
        <v>206310</v>
      </c>
      <c r="AS102" s="9" t="n">
        <v>4102</v>
      </c>
    </row>
    <row r="103">
      <c r="A103" s="11" t="n">
        <v>46189</v>
      </c>
      <c r="B103" s="9" t="n">
        <v>3740634874</v>
      </c>
      <c r="C103" s="9" t="n">
        <v>77500000</v>
      </c>
      <c r="D103" s="9" t="n">
        <v>0</v>
      </c>
      <c r="E103" s="9" t="n">
        <v>7718000000</v>
      </c>
      <c r="F103" s="9" t="n">
        <v>0</v>
      </c>
      <c r="G103" s="9" t="n">
        <v>3533585000</v>
      </c>
      <c r="H103" s="9" t="n">
        <v>465000000</v>
      </c>
      <c r="I103" s="9" t="n">
        <v>8212500000</v>
      </c>
      <c r="J103" s="9" t="n">
        <v>0</v>
      </c>
      <c r="K103" s="9" t="n">
        <v>0</v>
      </c>
      <c r="L103" s="9" t="n">
        <v>7274219874</v>
      </c>
      <c r="M103" s="9" t="n">
        <v>542500000</v>
      </c>
      <c r="N103" s="9" t="n">
        <v>8212500000</v>
      </c>
      <c r="O103" s="9" t="n">
        <v>7718000000</v>
      </c>
      <c r="P103" s="9" t="n">
        <v>0</v>
      </c>
      <c r="Q103" s="9" t="n">
        <v>24173.5214</v>
      </c>
      <c r="R103" s="9" t="n">
        <v>500.8369</v>
      </c>
      <c r="S103" s="9" t="n">
        <v>0</v>
      </c>
      <c r="T103" s="9" t="n">
        <v>49876.8911</v>
      </c>
      <c r="U103" s="9" t="n">
        <v>0</v>
      </c>
      <c r="V103" s="9" t="n">
        <v>22835.4799</v>
      </c>
      <c r="W103" s="9" t="n">
        <v>3005.0213</v>
      </c>
      <c r="X103" s="9" t="n">
        <v>53072.5535</v>
      </c>
      <c r="Y103" s="9" t="n">
        <v>0</v>
      </c>
      <c r="Z103" s="9" t="n">
        <v>0</v>
      </c>
      <c r="AA103" s="9" t="n">
        <v>47009.0013</v>
      </c>
      <c r="AB103" s="9" t="n">
        <v>3505.8582</v>
      </c>
      <c r="AC103" s="9" t="n">
        <v>53072.5535</v>
      </c>
      <c r="AD103" s="9" t="n">
        <v>49876.8911</v>
      </c>
      <c r="AE103" s="9" t="n">
        <v>0</v>
      </c>
      <c r="AF103" s="9" t="n">
        <v>65794</v>
      </c>
      <c r="AG103" s="9" t="n">
        <v>154741</v>
      </c>
      <c r="AH103" s="9" t="n">
        <v>155000</v>
      </c>
      <c r="AI103" s="9" t="n">
        <v>158005000</v>
      </c>
      <c r="AJ103" s="9" t="n">
        <v>83000000</v>
      </c>
      <c r="AK103" s="9" t="n">
        <v>44160000</v>
      </c>
      <c r="AL103" s="9" t="n">
        <v>38393187</v>
      </c>
      <c r="AM103" s="9" t="n">
        <v>30000000</v>
      </c>
      <c r="AN103" s="9" t="n">
        <v>70000000</v>
      </c>
      <c r="AO103" s="9" t="n">
        <v>25000000</v>
      </c>
      <c r="AP103" s="9" t="n">
        <v>15651900</v>
      </c>
      <c r="AQ103" s="9" t="n">
        <v>3285</v>
      </c>
      <c r="AR103" s="9" t="n">
        <v>180070</v>
      </c>
      <c r="AS103" s="9" t="n">
        <v>4333</v>
      </c>
    </row>
    <row r="104">
      <c r="A104" s="11" t="n">
        <v>46198</v>
      </c>
      <c r="B104" s="9" t="n">
        <v>3870652740</v>
      </c>
      <c r="C104" s="9" t="n">
        <v>80000000</v>
      </c>
      <c r="D104" s="9" t="n">
        <v>0</v>
      </c>
      <c r="E104" s="9" t="n">
        <v>7718000000</v>
      </c>
      <c r="F104" s="9" t="n">
        <v>0</v>
      </c>
      <c r="G104" s="9" t="n">
        <v>3657060000</v>
      </c>
      <c r="H104" s="9" t="n">
        <v>480000000</v>
      </c>
      <c r="I104" s="9" t="n">
        <v>7797500000</v>
      </c>
      <c r="J104" s="9" t="n">
        <v>0</v>
      </c>
      <c r="K104" s="9" t="n">
        <v>0</v>
      </c>
      <c r="L104" s="9" t="n">
        <v>7527712740</v>
      </c>
      <c r="M104" s="9" t="n">
        <v>560000000</v>
      </c>
      <c r="N104" s="9" t="n">
        <v>7797500000</v>
      </c>
      <c r="O104" s="9" t="n">
        <v>7718000000</v>
      </c>
      <c r="P104" s="9" t="n">
        <v>0</v>
      </c>
      <c r="Q104" s="9" t="n">
        <v>23251.353</v>
      </c>
      <c r="R104" s="9" t="n">
        <v>480.5671</v>
      </c>
      <c r="S104" s="9" t="n">
        <v>0</v>
      </c>
      <c r="T104" s="9" t="n">
        <v>46362.708</v>
      </c>
      <c r="U104" s="9" t="n">
        <v>0</v>
      </c>
      <c r="V104" s="9" t="n">
        <v>21968.2826</v>
      </c>
      <c r="W104" s="9" t="n">
        <v>2883.4024</v>
      </c>
      <c r="X104" s="9" t="n">
        <v>46840.2715</v>
      </c>
      <c r="Y104" s="9" t="n">
        <v>0</v>
      </c>
      <c r="Z104" s="9" t="n">
        <v>0</v>
      </c>
      <c r="AA104" s="9" t="n">
        <v>45219.6356</v>
      </c>
      <c r="AB104" s="9" t="n">
        <v>3363.9695</v>
      </c>
      <c r="AC104" s="9" t="n">
        <v>46840.2715</v>
      </c>
      <c r="AD104" s="9" t="n">
        <v>46362.708</v>
      </c>
      <c r="AE104" s="9" t="n">
        <v>0</v>
      </c>
      <c r="AF104" s="9" t="n">
        <v>61679</v>
      </c>
      <c r="AG104" s="9" t="n">
        <v>166470</v>
      </c>
      <c r="AH104" s="9" t="n">
        <v>160000</v>
      </c>
      <c r="AI104" s="9" t="n">
        <v>163010000</v>
      </c>
      <c r="AJ104" s="9" t="n">
        <v>85500000</v>
      </c>
      <c r="AK104" s="9" t="n">
        <v>49450000</v>
      </c>
      <c r="AL104" s="9" t="n">
        <v>42992370</v>
      </c>
      <c r="AM104" s="9" t="n">
        <v>30000000</v>
      </c>
      <c r="AN104" s="9" t="n">
        <v>70000000</v>
      </c>
      <c r="AO104" s="9" t="n">
        <v>25500000</v>
      </c>
      <c r="AP104" s="9" t="n">
        <v>16085200</v>
      </c>
      <c r="AQ104" s="9" t="n">
        <v>3119</v>
      </c>
      <c r="AR104" s="9" t="n">
        <v>183850</v>
      </c>
      <c r="AS104" s="9" t="n">
        <v>3983</v>
      </c>
    </row>
    <row r="105">
      <c r="A105" s="11" t="n">
        <v>46199</v>
      </c>
      <c r="B105" s="9" t="n">
        <v>3851202740</v>
      </c>
      <c r="C105" s="9" t="n">
        <v>80000000</v>
      </c>
      <c r="D105" s="9" t="n">
        <v>0</v>
      </c>
      <c r="E105" s="9" t="n">
        <v>7718000000</v>
      </c>
      <c r="F105" s="9" t="n">
        <v>0</v>
      </c>
      <c r="G105" s="9" t="n">
        <v>3657060000</v>
      </c>
      <c r="H105" s="9" t="n">
        <v>480000000</v>
      </c>
      <c r="I105" s="9" t="n">
        <v>7797500000</v>
      </c>
      <c r="J105" s="9" t="n">
        <v>0</v>
      </c>
      <c r="K105" s="9" t="n">
        <v>0</v>
      </c>
      <c r="L105" s="9" t="n">
        <v>7508262740</v>
      </c>
      <c r="M105" s="9" t="n">
        <v>560000000</v>
      </c>
      <c r="N105" s="9" t="n">
        <v>7797500000</v>
      </c>
      <c r="O105" s="9" t="n">
        <v>7718000000</v>
      </c>
      <c r="P105" s="9" t="n">
        <v>0</v>
      </c>
      <c r="Q105" s="9" t="n">
        <v>23375.5717</v>
      </c>
      <c r="R105" s="9" t="n">
        <v>485.647</v>
      </c>
      <c r="S105" s="9" t="n">
        <v>0</v>
      </c>
      <c r="T105" s="9" t="n">
        <v>46852.7905</v>
      </c>
      <c r="U105" s="9" t="n">
        <v>0</v>
      </c>
      <c r="V105" s="9" t="n">
        <v>22200.5009</v>
      </c>
      <c r="W105" s="9" t="n">
        <v>2913.8818</v>
      </c>
      <c r="X105" s="9" t="n">
        <v>47335.4021</v>
      </c>
      <c r="Y105" s="9" t="n">
        <v>0</v>
      </c>
      <c r="Z105" s="9" t="n">
        <v>0</v>
      </c>
      <c r="AA105" s="9" t="n">
        <v>45576.0726</v>
      </c>
      <c r="AB105" s="9" t="n">
        <v>3399.5287</v>
      </c>
      <c r="AC105" s="9" t="n">
        <v>47335.4021</v>
      </c>
      <c r="AD105" s="9" t="n">
        <v>46852.7905</v>
      </c>
      <c r="AE105" s="9" t="n">
        <v>0</v>
      </c>
      <c r="AF105" s="9" t="n">
        <v>59858</v>
      </c>
      <c r="AG105" s="9" t="n">
        <v>167200</v>
      </c>
      <c r="AH105" s="9" t="n">
        <v>160000</v>
      </c>
      <c r="AI105" s="9" t="n">
        <v>163010000</v>
      </c>
      <c r="AJ105" s="9" t="n">
        <v>85500000</v>
      </c>
      <c r="AK105" s="9" t="n">
        <v>49450000</v>
      </c>
      <c r="AL105" s="9" t="n">
        <v>42992370</v>
      </c>
      <c r="AM105" s="9" t="n">
        <v>28633333.3333</v>
      </c>
      <c r="AN105" s="9" t="n">
        <v>67203333.33329999</v>
      </c>
      <c r="AO105" s="9" t="n">
        <v>25500000</v>
      </c>
      <c r="AP105" s="9" t="n">
        <v>16085200</v>
      </c>
      <c r="AQ105" s="9" t="n">
        <v>3119</v>
      </c>
      <c r="AR105" s="9" t="n">
        <v>183850</v>
      </c>
      <c r="AS105" s="9" t="n">
        <v>4042</v>
      </c>
    </row>
    <row r="106">
      <c r="A106" s="11" t="n">
        <v>46201</v>
      </c>
      <c r="B106" s="9" t="n">
        <v>3977806885.4286</v>
      </c>
      <c r="C106" s="9" t="n">
        <v>85463928.5714</v>
      </c>
      <c r="D106" s="9" t="n">
        <v>0</v>
      </c>
      <c r="E106" s="9" t="n">
        <v>7718000000</v>
      </c>
      <c r="F106" s="9" t="n">
        <v>0</v>
      </c>
      <c r="G106" s="9" t="n">
        <v>3833620000</v>
      </c>
      <c r="H106" s="9" t="n">
        <v>512783571.4286</v>
      </c>
      <c r="I106" s="9" t="n">
        <v>7721428571.4286</v>
      </c>
      <c r="J106" s="9" t="n">
        <v>0</v>
      </c>
      <c r="K106" s="9" t="n">
        <v>0</v>
      </c>
      <c r="L106" s="9" t="n">
        <v>7811426885.4286</v>
      </c>
      <c r="M106" s="9" t="n">
        <v>598247500</v>
      </c>
      <c r="N106" s="9" t="n">
        <v>7721428571.4286</v>
      </c>
      <c r="O106" s="9" t="n">
        <v>7718000000</v>
      </c>
      <c r="P106" s="9" t="n">
        <v>0</v>
      </c>
      <c r="Q106" s="9" t="n">
        <v>23299.231</v>
      </c>
      <c r="R106" s="9" t="n">
        <v>500.6212</v>
      </c>
      <c r="S106" s="9" t="n">
        <v>0</v>
      </c>
      <c r="T106" s="9" t="n">
        <v>45213.7778</v>
      </c>
      <c r="U106" s="9" t="n">
        <v>0</v>
      </c>
      <c r="V106" s="9" t="n">
        <v>22454.5065</v>
      </c>
      <c r="W106" s="9" t="n">
        <v>3003.727</v>
      </c>
      <c r="X106" s="9" t="n">
        <v>45235.8807</v>
      </c>
      <c r="Y106" s="9" t="n">
        <v>0</v>
      </c>
      <c r="Z106" s="9" t="n">
        <v>0</v>
      </c>
      <c r="AA106" s="9" t="n">
        <v>45753.7375</v>
      </c>
      <c r="AB106" s="9" t="n">
        <v>3504.3482</v>
      </c>
      <c r="AC106" s="9" t="n">
        <v>45235.8807</v>
      </c>
      <c r="AD106" s="9" t="n">
        <v>45213.7778</v>
      </c>
      <c r="AE106" s="9" t="n">
        <v>0</v>
      </c>
      <c r="AF106" s="9" t="n">
        <v>60020.5</v>
      </c>
      <c r="AG106" s="9" t="n">
        <v>171452</v>
      </c>
      <c r="AH106" s="9" t="n">
        <v>170927.8571</v>
      </c>
      <c r="AI106" s="9" t="n">
        <v>170857142.8571</v>
      </c>
      <c r="AJ106" s="9" t="n">
        <v>88835714.28569999</v>
      </c>
      <c r="AK106" s="9" t="n">
        <v>52261428.5714</v>
      </c>
      <c r="AL106" s="9" t="n">
        <v>45436657</v>
      </c>
      <c r="AM106" s="9" t="n">
        <v>25900000</v>
      </c>
      <c r="AN106" s="9" t="n">
        <v>61610000</v>
      </c>
      <c r="AO106" s="9" t="n">
        <v>26857142.8571</v>
      </c>
      <c r="AP106" s="9" t="n">
        <v>16841857.1429</v>
      </c>
      <c r="AQ106" s="9" t="n">
        <v>3088.5714</v>
      </c>
      <c r="AR106" s="9" t="n">
        <v>196190</v>
      </c>
      <c r="AS106" s="9" t="n">
        <v>4089</v>
      </c>
    </row>
    <row r="107">
      <c r="A107" s="11" t="n">
        <v>46205</v>
      </c>
      <c r="B107" s="9" t="n">
        <v>4085411374</v>
      </c>
      <c r="C107" s="9" t="n">
        <v>87722500</v>
      </c>
      <c r="D107" s="9" t="n">
        <v>0</v>
      </c>
      <c r="E107" s="9" t="n">
        <v>7718000000</v>
      </c>
      <c r="F107" s="9" t="n">
        <v>0</v>
      </c>
      <c r="G107" s="9" t="n">
        <v>3967142500</v>
      </c>
      <c r="H107" s="9" t="n">
        <v>526335000</v>
      </c>
      <c r="I107" s="9" t="n">
        <v>7650000000</v>
      </c>
      <c r="J107" s="9" t="n">
        <v>0</v>
      </c>
      <c r="K107" s="9" t="n">
        <v>0</v>
      </c>
      <c r="L107" s="9" t="n">
        <v>8052553874</v>
      </c>
      <c r="M107" s="9" t="n">
        <v>614057500</v>
      </c>
      <c r="N107" s="9" t="n">
        <v>7650000000</v>
      </c>
      <c r="O107" s="9" t="n">
        <v>7718000000</v>
      </c>
      <c r="P107" s="9" t="n">
        <v>0</v>
      </c>
      <c r="Q107" s="9" t="n">
        <v>23196.0243</v>
      </c>
      <c r="R107" s="9" t="n">
        <v>498.0681</v>
      </c>
      <c r="S107" s="9" t="n">
        <v>0</v>
      </c>
      <c r="T107" s="9" t="n">
        <v>43821.0253</v>
      </c>
      <c r="U107" s="9" t="n">
        <v>0</v>
      </c>
      <c r="V107" s="9" t="n">
        <v>22524.5209</v>
      </c>
      <c r="W107" s="9" t="n">
        <v>2988.4088</v>
      </c>
      <c r="X107" s="9" t="n">
        <v>43434.937</v>
      </c>
      <c r="Y107" s="9" t="n">
        <v>0</v>
      </c>
      <c r="Z107" s="9" t="n">
        <v>0</v>
      </c>
      <c r="AA107" s="9" t="n">
        <v>45720.5452</v>
      </c>
      <c r="AB107" s="9" t="n">
        <v>3486.477</v>
      </c>
      <c r="AC107" s="9" t="n">
        <v>43434.937</v>
      </c>
      <c r="AD107" s="9" t="n">
        <v>43821.0253</v>
      </c>
      <c r="AE107" s="9" t="n">
        <v>0</v>
      </c>
      <c r="AF107" s="9" t="n">
        <v>61145.5</v>
      </c>
      <c r="AG107" s="9" t="n">
        <v>176125.5</v>
      </c>
      <c r="AH107" s="9" t="n">
        <v>175445</v>
      </c>
      <c r="AI107" s="9" t="n">
        <v>176992500</v>
      </c>
      <c r="AJ107" s="9" t="n">
        <v>91720000</v>
      </c>
      <c r="AK107" s="9" t="n">
        <v>52860000</v>
      </c>
      <c r="AL107" s="9" t="n">
        <v>45957062</v>
      </c>
      <c r="AM107" s="9" t="n">
        <v>25900000</v>
      </c>
      <c r="AN107" s="9" t="n">
        <v>61610000</v>
      </c>
      <c r="AO107" s="9" t="n">
        <v>26500000</v>
      </c>
      <c r="AP107" s="9" t="n">
        <v>17430150</v>
      </c>
      <c r="AQ107" s="9" t="n">
        <v>3060</v>
      </c>
      <c r="AR107" s="9" t="n">
        <v>200155</v>
      </c>
      <c r="AS107" s="9" t="n">
        <v>4063.5</v>
      </c>
    </row>
    <row r="108">
      <c r="A108" s="11" t="n">
        <v>46208</v>
      </c>
      <c r="B108" s="9" t="n">
        <v>4128003471.3333</v>
      </c>
      <c r="C108" s="9" t="n">
        <v>87411666.66670001</v>
      </c>
      <c r="D108" s="9" t="n">
        <v>0</v>
      </c>
      <c r="E108" s="9" t="n">
        <v>7718000000</v>
      </c>
      <c r="F108" s="9" t="n">
        <v>0</v>
      </c>
      <c r="G108" s="9" t="n">
        <v>3989585000</v>
      </c>
      <c r="H108" s="9" t="n">
        <v>524470000</v>
      </c>
      <c r="I108" s="9" t="n">
        <v>7650000000</v>
      </c>
      <c r="J108" s="9" t="n">
        <v>0</v>
      </c>
      <c r="K108" s="9" t="n">
        <v>0</v>
      </c>
      <c r="L108" s="9" t="n">
        <v>8117588471.3333</v>
      </c>
      <c r="M108" s="9" t="n">
        <v>611881666.6667</v>
      </c>
      <c r="N108" s="9" t="n">
        <v>7650000000</v>
      </c>
      <c r="O108" s="9" t="n">
        <v>7718000000</v>
      </c>
      <c r="P108" s="9" t="n">
        <v>0</v>
      </c>
      <c r="Q108" s="9" t="n">
        <v>23704.4217</v>
      </c>
      <c r="R108" s="9" t="n">
        <v>501.9482</v>
      </c>
      <c r="S108" s="9" t="n">
        <v>0</v>
      </c>
      <c r="T108" s="9" t="n">
        <v>44319.6038</v>
      </c>
      <c r="U108" s="9" t="n">
        <v>0</v>
      </c>
      <c r="V108" s="9" t="n">
        <v>22909.6093</v>
      </c>
      <c r="W108" s="9" t="n">
        <v>3011.689</v>
      </c>
      <c r="X108" s="9" t="n">
        <v>43929.1227</v>
      </c>
      <c r="Y108" s="9" t="n">
        <v>0</v>
      </c>
      <c r="Z108" s="9" t="n">
        <v>0</v>
      </c>
      <c r="AA108" s="9" t="n">
        <v>46614.031</v>
      </c>
      <c r="AB108" s="9" t="n">
        <v>3513.6372</v>
      </c>
      <c r="AC108" s="9" t="n">
        <v>43929.1227</v>
      </c>
      <c r="AD108" s="9" t="n">
        <v>44319.6038</v>
      </c>
      <c r="AE108" s="9" t="n">
        <v>0</v>
      </c>
      <c r="AF108" s="9" t="n">
        <v>62884.6667</v>
      </c>
      <c r="AG108" s="9" t="n">
        <v>174144.6667</v>
      </c>
      <c r="AH108" s="9" t="n">
        <v>174823.3333</v>
      </c>
      <c r="AI108" s="9" t="n">
        <v>177907222.2222</v>
      </c>
      <c r="AJ108" s="9" t="n">
        <v>92840000</v>
      </c>
      <c r="AK108" s="9" t="n">
        <v>53564444.4444</v>
      </c>
      <c r="AL108" s="9" t="n">
        <v>46569513.4444</v>
      </c>
      <c r="AM108" s="9" t="n">
        <v>25900000</v>
      </c>
      <c r="AN108" s="9" t="n">
        <v>61610000</v>
      </c>
      <c r="AO108" s="9" t="n">
        <v>27166666.6667</v>
      </c>
      <c r="AP108" s="9" t="n">
        <v>17625000</v>
      </c>
      <c r="AQ108" s="9" t="n">
        <v>3060</v>
      </c>
      <c r="AR108" s="9" t="n">
        <v>200550</v>
      </c>
      <c r="AS108" s="9" t="n">
        <v>4157.3333</v>
      </c>
    </row>
    <row r="109">
      <c r="A109" s="11" t="n">
        <v>46209</v>
      </c>
      <c r="B109" s="9" t="n">
        <v>4149150880</v>
      </c>
      <c r="C109" s="9" t="n">
        <v>87883333.33329999</v>
      </c>
      <c r="D109" s="9" t="n">
        <v>0</v>
      </c>
      <c r="E109" s="9" t="n">
        <v>7718000000</v>
      </c>
      <c r="F109" s="9" t="n">
        <v>0</v>
      </c>
      <c r="G109" s="9" t="n">
        <v>4011035000</v>
      </c>
      <c r="H109" s="9" t="n">
        <v>527300000</v>
      </c>
      <c r="I109" s="9" t="n">
        <v>7650000000</v>
      </c>
      <c r="J109" s="9" t="n">
        <v>0</v>
      </c>
      <c r="K109" s="9" t="n">
        <v>0</v>
      </c>
      <c r="L109" s="9" t="n">
        <v>8160185880</v>
      </c>
      <c r="M109" s="9" t="n">
        <v>615183333.3333</v>
      </c>
      <c r="N109" s="9" t="n">
        <v>7650000000</v>
      </c>
      <c r="O109" s="9" t="n">
        <v>7718000000</v>
      </c>
      <c r="P109" s="9" t="n">
        <v>0</v>
      </c>
      <c r="Q109" s="9" t="n">
        <v>23704.8266</v>
      </c>
      <c r="R109" s="9" t="n">
        <v>502.0929</v>
      </c>
      <c r="S109" s="9" t="n">
        <v>0</v>
      </c>
      <c r="T109" s="9" t="n">
        <v>44094.2911</v>
      </c>
      <c r="U109" s="9" t="n">
        <v>0</v>
      </c>
      <c r="V109" s="9" t="n">
        <v>22915.7443</v>
      </c>
      <c r="W109" s="9" t="n">
        <v>3012.5575</v>
      </c>
      <c r="X109" s="9" t="n">
        <v>43705.7951</v>
      </c>
      <c r="Y109" s="9" t="n">
        <v>0</v>
      </c>
      <c r="Z109" s="9" t="n">
        <v>0</v>
      </c>
      <c r="AA109" s="9" t="n">
        <v>46620.5709</v>
      </c>
      <c r="AB109" s="9" t="n">
        <v>3514.6504</v>
      </c>
      <c r="AC109" s="9" t="n">
        <v>43705.7951</v>
      </c>
      <c r="AD109" s="9" t="n">
        <v>44094.2911</v>
      </c>
      <c r="AE109" s="9" t="n">
        <v>0</v>
      </c>
      <c r="AF109" s="9" t="n">
        <v>62604.3333</v>
      </c>
      <c r="AG109" s="9" t="n">
        <v>175034</v>
      </c>
      <c r="AH109" s="9" t="n">
        <v>175766.6667</v>
      </c>
      <c r="AI109" s="9" t="n">
        <v>178835000</v>
      </c>
      <c r="AJ109" s="9" t="n">
        <v>93500000</v>
      </c>
      <c r="AK109" s="9" t="n">
        <v>54000000</v>
      </c>
      <c r="AL109" s="9" t="n">
        <v>46948190</v>
      </c>
      <c r="AM109" s="9" t="n">
        <v>25900000</v>
      </c>
      <c r="AN109" s="9" t="n">
        <v>61610000</v>
      </c>
      <c r="AO109" s="9" t="n">
        <v>28000000</v>
      </c>
      <c r="AP109" s="9" t="n">
        <v>17701633.3333</v>
      </c>
      <c r="AQ109" s="9" t="n">
        <v>3060</v>
      </c>
      <c r="AR109" s="9" t="n">
        <v>200680</v>
      </c>
      <c r="AS109" s="9" t="n">
        <v>4148.6667</v>
      </c>
    </row>
    <row r="110">
      <c r="A110" s="11" t="n">
        <v>46210</v>
      </c>
      <c r="B110" s="9" t="n">
        <v>4147374410</v>
      </c>
      <c r="C110" s="9" t="n">
        <v>88342500</v>
      </c>
      <c r="D110" s="9" t="n">
        <v>0</v>
      </c>
      <c r="E110" s="9" t="n">
        <v>7718000000</v>
      </c>
      <c r="F110" s="9" t="n">
        <v>0</v>
      </c>
      <c r="G110" s="9" t="n">
        <v>4012475000</v>
      </c>
      <c r="H110" s="9" t="n">
        <v>530055000</v>
      </c>
      <c r="I110" s="9" t="n">
        <v>7650000000</v>
      </c>
      <c r="J110" s="9" t="n">
        <v>0</v>
      </c>
      <c r="K110" s="9" t="n">
        <v>0</v>
      </c>
      <c r="L110" s="9" t="n">
        <v>8159849410</v>
      </c>
      <c r="M110" s="9" t="n">
        <v>618397500</v>
      </c>
      <c r="N110" s="9" t="n">
        <v>7650000000</v>
      </c>
      <c r="O110" s="9" t="n">
        <v>7718000000</v>
      </c>
      <c r="P110" s="9" t="n">
        <v>0</v>
      </c>
      <c r="Q110" s="9" t="n">
        <v>23484.9025</v>
      </c>
      <c r="R110" s="9" t="n">
        <v>500.2478</v>
      </c>
      <c r="S110" s="9" t="n">
        <v>0</v>
      </c>
      <c r="T110" s="9" t="n">
        <v>43703.91</v>
      </c>
      <c r="U110" s="9" t="n">
        <v>0</v>
      </c>
      <c r="V110" s="9" t="n">
        <v>22721.0218</v>
      </c>
      <c r="W110" s="9" t="n">
        <v>3001.4869</v>
      </c>
      <c r="X110" s="9" t="n">
        <v>43318.8535</v>
      </c>
      <c r="Y110" s="9" t="n">
        <v>0</v>
      </c>
      <c r="Z110" s="9" t="n">
        <v>0</v>
      </c>
      <c r="AA110" s="9" t="n">
        <v>46205.9243</v>
      </c>
      <c r="AB110" s="9" t="n">
        <v>3501.7347</v>
      </c>
      <c r="AC110" s="9" t="n">
        <v>43318.8535</v>
      </c>
      <c r="AD110" s="9" t="n">
        <v>43703.91</v>
      </c>
      <c r="AE110" s="9" t="n">
        <v>0</v>
      </c>
      <c r="AF110" s="9" t="n">
        <v>63904.5</v>
      </c>
      <c r="AG110" s="9" t="n">
        <v>176599.5</v>
      </c>
      <c r="AH110" s="9" t="n">
        <v>176685</v>
      </c>
      <c r="AI110" s="9" t="n">
        <v>178995000</v>
      </c>
      <c r="AJ110" s="9" t="n">
        <v>92930000</v>
      </c>
      <c r="AK110" s="9" t="n">
        <v>53550000</v>
      </c>
      <c r="AL110" s="9" t="n">
        <v>46556955</v>
      </c>
      <c r="AM110" s="9" t="n">
        <v>25900000</v>
      </c>
      <c r="AN110" s="9" t="n">
        <v>61610000</v>
      </c>
      <c r="AO110" s="9" t="n">
        <v>27000000</v>
      </c>
      <c r="AP110" s="9" t="n">
        <v>17740700</v>
      </c>
      <c r="AQ110" s="9" t="n">
        <v>3060</v>
      </c>
      <c r="AR110" s="9" t="n">
        <v>201800</v>
      </c>
      <c r="AS110" s="9" t="n">
        <v>4126</v>
      </c>
    </row>
    <row r="111">
      <c r="A111" s="11" t="n">
        <v>46211</v>
      </c>
      <c r="B111" s="9" t="n">
        <v>4171994380</v>
      </c>
      <c r="C111" s="9" t="n">
        <v>90250000</v>
      </c>
      <c r="D111" s="9" t="n">
        <v>0</v>
      </c>
      <c r="E111" s="9" t="n">
        <v>7718000000</v>
      </c>
      <c r="F111" s="9" t="n">
        <v>0</v>
      </c>
      <c r="G111" s="9" t="n">
        <v>4036690000</v>
      </c>
      <c r="H111" s="9" t="n">
        <v>541500000</v>
      </c>
      <c r="I111" s="9" t="n">
        <v>7050000000</v>
      </c>
      <c r="J111" s="9" t="n">
        <v>0</v>
      </c>
      <c r="K111" s="9" t="n">
        <v>0</v>
      </c>
      <c r="L111" s="9" t="n">
        <v>8208684380</v>
      </c>
      <c r="M111" s="9" t="n">
        <v>631750000</v>
      </c>
      <c r="N111" s="9" t="n">
        <v>7050000000</v>
      </c>
      <c r="O111" s="9" t="n">
        <v>7718000000</v>
      </c>
      <c r="P111" s="9" t="n">
        <v>0</v>
      </c>
      <c r="Q111" s="9" t="n">
        <v>23272.7771</v>
      </c>
      <c r="R111" s="9" t="n">
        <v>503.4446</v>
      </c>
      <c r="S111" s="9" t="n">
        <v>0</v>
      </c>
      <c r="T111" s="9" t="n">
        <v>43053.5799</v>
      </c>
      <c r="U111" s="9" t="n">
        <v>0</v>
      </c>
      <c r="V111" s="9" t="n">
        <v>22518.0041</v>
      </c>
      <c r="W111" s="9" t="n">
        <v>3020.6677</v>
      </c>
      <c r="X111" s="9" t="n">
        <v>39327.2529</v>
      </c>
      <c r="Y111" s="9" t="n">
        <v>0</v>
      </c>
      <c r="Z111" s="9" t="n">
        <v>0</v>
      </c>
      <c r="AA111" s="9" t="n">
        <v>45790.7811</v>
      </c>
      <c r="AB111" s="9" t="n">
        <v>3524.1123</v>
      </c>
      <c r="AC111" s="9" t="n">
        <v>39327.2529</v>
      </c>
      <c r="AD111" s="9" t="n">
        <v>43053.5799</v>
      </c>
      <c r="AE111" s="9" t="n">
        <v>0</v>
      </c>
      <c r="AF111" s="9" t="n">
        <v>61982</v>
      </c>
      <c r="AG111" s="9" t="n">
        <v>179265</v>
      </c>
      <c r="AH111" s="9" t="n">
        <v>180500</v>
      </c>
      <c r="AI111" s="9" t="n">
        <v>180010000</v>
      </c>
      <c r="AJ111" s="9" t="n">
        <v>94480000</v>
      </c>
      <c r="AK111" s="9" t="n">
        <v>54000000</v>
      </c>
      <c r="AL111" s="9" t="n">
        <v>46948190</v>
      </c>
      <c r="AM111" s="9" t="n">
        <v>25900000</v>
      </c>
      <c r="AN111" s="9" t="n">
        <v>61610000</v>
      </c>
      <c r="AO111" s="9" t="n">
        <v>27000000</v>
      </c>
      <c r="AP111" s="9" t="n">
        <v>17857200</v>
      </c>
      <c r="AQ111" s="9" t="n">
        <v>2820</v>
      </c>
      <c r="AR111" s="9" t="n">
        <v>205970</v>
      </c>
      <c r="AS111" s="9" t="n">
        <v>4072</v>
      </c>
    </row>
    <row r="112">
      <c r="A112" s="11" t="n">
        <v>46212</v>
      </c>
      <c r="B112" s="9" t="n">
        <v>4194339376</v>
      </c>
      <c r="C112" s="9" t="n">
        <v>90879375</v>
      </c>
      <c r="D112" s="9" t="n">
        <v>0</v>
      </c>
      <c r="E112" s="9" t="n">
        <v>7718000000</v>
      </c>
      <c r="F112" s="9" t="n">
        <v>0</v>
      </c>
      <c r="G112" s="9" t="n">
        <v>4074626250</v>
      </c>
      <c r="H112" s="9" t="n">
        <v>545276250</v>
      </c>
      <c r="I112" s="9" t="n">
        <v>7050000000</v>
      </c>
      <c r="J112" s="9" t="n">
        <v>0</v>
      </c>
      <c r="K112" s="9" t="n">
        <v>0</v>
      </c>
      <c r="L112" s="9" t="n">
        <v>8268965626</v>
      </c>
      <c r="M112" s="9" t="n">
        <v>636155625</v>
      </c>
      <c r="N112" s="9" t="n">
        <v>7050000000</v>
      </c>
      <c r="O112" s="9" t="n">
        <v>7718000000</v>
      </c>
      <c r="P112" s="9" t="n">
        <v>0</v>
      </c>
      <c r="Q112" s="9" t="n">
        <v>23254.7678</v>
      </c>
      <c r="R112" s="9" t="n">
        <v>503.8657</v>
      </c>
      <c r="S112" s="9" t="n">
        <v>0</v>
      </c>
      <c r="T112" s="9" t="n">
        <v>42791.2222</v>
      </c>
      <c r="U112" s="9" t="n">
        <v>0</v>
      </c>
      <c r="V112" s="9" t="n">
        <v>22591.0037</v>
      </c>
      <c r="W112" s="9" t="n">
        <v>3023.1941</v>
      </c>
      <c r="X112" s="9" t="n">
        <v>39087.6026</v>
      </c>
      <c r="Y112" s="9" t="n">
        <v>0</v>
      </c>
      <c r="Z112" s="9" t="n">
        <v>0</v>
      </c>
      <c r="AA112" s="9" t="n">
        <v>45845.7715</v>
      </c>
      <c r="AB112" s="9" t="n">
        <v>3527.0598</v>
      </c>
      <c r="AC112" s="9" t="n">
        <v>39087.6026</v>
      </c>
      <c r="AD112" s="9" t="n">
        <v>42791.2222</v>
      </c>
      <c r="AE112" s="9" t="n">
        <v>0</v>
      </c>
      <c r="AF112" s="9" t="n">
        <v>63096</v>
      </c>
      <c r="AG112" s="9" t="n">
        <v>180365</v>
      </c>
      <c r="AH112" s="9" t="n">
        <v>181758.75</v>
      </c>
      <c r="AI112" s="9" t="n">
        <v>181746250</v>
      </c>
      <c r="AJ112" s="9" t="n">
        <v>95115000</v>
      </c>
      <c r="AK112" s="9" t="n">
        <v>54280000</v>
      </c>
      <c r="AL112" s="9" t="n">
        <v>47191625.5</v>
      </c>
      <c r="AM112" s="9" t="n">
        <v>25900000</v>
      </c>
      <c r="AN112" s="9" t="n">
        <v>61610000</v>
      </c>
      <c r="AO112" s="9" t="n">
        <v>27000000</v>
      </c>
      <c r="AP112" s="9" t="n">
        <v>17965575</v>
      </c>
      <c r="AQ112" s="9" t="n">
        <v>2820</v>
      </c>
      <c r="AR112" s="9" t="n">
        <v>207855</v>
      </c>
      <c r="AS112" s="9" t="n">
        <v>4114.75</v>
      </c>
    </row>
    <row r="113">
      <c r="A113" s="11" t="n">
        <v>46214</v>
      </c>
      <c r="B113" s="9" t="n">
        <v>4096927676</v>
      </c>
      <c r="C113" s="9" t="n">
        <v>89140000</v>
      </c>
      <c r="D113" s="9" t="n">
        <v>0</v>
      </c>
      <c r="E113" s="9" t="n">
        <v>7718000000</v>
      </c>
      <c r="F113" s="9" t="n">
        <v>0</v>
      </c>
      <c r="G113" s="9" t="n">
        <v>3957965000</v>
      </c>
      <c r="H113" s="9" t="n">
        <v>534840000</v>
      </c>
      <c r="I113" s="9" t="n">
        <v>7285000000</v>
      </c>
      <c r="J113" s="9" t="n">
        <v>0</v>
      </c>
      <c r="K113" s="9" t="n">
        <v>0</v>
      </c>
      <c r="L113" s="9" t="n">
        <v>8054892676</v>
      </c>
      <c r="M113" s="9" t="n">
        <v>623980000</v>
      </c>
      <c r="N113" s="9" t="n">
        <v>7285000000</v>
      </c>
      <c r="O113" s="9" t="n">
        <v>7718000000</v>
      </c>
      <c r="P113" s="9" t="n">
        <v>0</v>
      </c>
      <c r="Q113" s="9" t="n">
        <v>23120.3593</v>
      </c>
      <c r="R113" s="9" t="n">
        <v>503.0474</v>
      </c>
      <c r="S113" s="9" t="n">
        <v>0</v>
      </c>
      <c r="T113" s="9" t="n">
        <v>43555.3047</v>
      </c>
      <c r="U113" s="9" t="n">
        <v>0</v>
      </c>
      <c r="V113" s="9" t="n">
        <v>22336.1456</v>
      </c>
      <c r="W113" s="9" t="n">
        <v>3018.2844</v>
      </c>
      <c r="X113" s="9" t="n">
        <v>41111.7381</v>
      </c>
      <c r="Y113" s="9" t="n">
        <v>0</v>
      </c>
      <c r="Z113" s="9" t="n">
        <v>0</v>
      </c>
      <c r="AA113" s="9" t="n">
        <v>45456.5049</v>
      </c>
      <c r="AB113" s="9" t="n">
        <v>3521.3318</v>
      </c>
      <c r="AC113" s="9" t="n">
        <v>41111.7381</v>
      </c>
      <c r="AD113" s="9" t="n">
        <v>43555.3047</v>
      </c>
      <c r="AE113" s="9" t="n">
        <v>0</v>
      </c>
      <c r="AF113" s="9" t="n">
        <v>64158</v>
      </c>
      <c r="AG113" s="9" t="n">
        <v>177200</v>
      </c>
      <c r="AH113" s="9" t="n">
        <v>178280</v>
      </c>
      <c r="AI113" s="9" t="n">
        <v>176495000</v>
      </c>
      <c r="AJ113" s="9" t="n">
        <v>92870000</v>
      </c>
      <c r="AK113" s="9" t="n">
        <v>52900000</v>
      </c>
      <c r="AL113" s="9" t="n">
        <v>45991838</v>
      </c>
      <c r="AM113" s="9" t="n">
        <v>25900000</v>
      </c>
      <c r="AN113" s="9" t="n">
        <v>61610000</v>
      </c>
      <c r="AO113" s="9" t="n">
        <v>26500000</v>
      </c>
      <c r="AP113" s="9" t="n">
        <v>17500600</v>
      </c>
      <c r="AQ113" s="9" t="n">
        <v>2914</v>
      </c>
      <c r="AR113" s="9" t="n">
        <v>203350</v>
      </c>
      <c r="AS113" s="9" t="n">
        <v>4121</v>
      </c>
    </row>
    <row r="114">
      <c r="A114" s="11" t="n">
        <v>46219</v>
      </c>
      <c r="B114" s="9" t="n">
        <v>4266808664</v>
      </c>
      <c r="C114" s="9" t="n">
        <v>94000000</v>
      </c>
      <c r="D114" s="9" t="n">
        <v>0</v>
      </c>
      <c r="E114" s="9" t="n">
        <v>7718000000</v>
      </c>
      <c r="F114" s="9" t="n">
        <v>0</v>
      </c>
      <c r="G114" s="9" t="n">
        <v>4144797500</v>
      </c>
      <c r="H114" s="9" t="n">
        <v>564000000</v>
      </c>
      <c r="I114" s="9" t="n">
        <v>7110000000</v>
      </c>
      <c r="J114" s="9" t="n">
        <v>0</v>
      </c>
      <c r="K114" s="9" t="n">
        <v>0</v>
      </c>
      <c r="L114" s="9" t="n">
        <v>8411606164</v>
      </c>
      <c r="M114" s="9" t="n">
        <v>658000000</v>
      </c>
      <c r="N114" s="9" t="n">
        <v>7110000000</v>
      </c>
      <c r="O114" s="9" t="n">
        <v>7718000000</v>
      </c>
      <c r="P114" s="9" t="n">
        <v>0</v>
      </c>
      <c r="Q114" s="9" t="n">
        <v>22732.8685</v>
      </c>
      <c r="R114" s="9" t="n">
        <v>500.8167</v>
      </c>
      <c r="S114" s="9" t="n">
        <v>0</v>
      </c>
      <c r="T114" s="9" t="n">
        <v>41120.3068</v>
      </c>
      <c r="U114" s="9" t="n">
        <v>0</v>
      </c>
      <c r="V114" s="9" t="n">
        <v>22082.838</v>
      </c>
      <c r="W114" s="9" t="n">
        <v>3004.9002</v>
      </c>
      <c r="X114" s="9" t="n">
        <v>37880.9771</v>
      </c>
      <c r="Y114" s="9" t="n">
        <v>0</v>
      </c>
      <c r="Z114" s="9" t="n">
        <v>0</v>
      </c>
      <c r="AA114" s="9" t="n">
        <v>44815.7065</v>
      </c>
      <c r="AB114" s="9" t="n">
        <v>3505.7169</v>
      </c>
      <c r="AC114" s="9" t="n">
        <v>37880.9771</v>
      </c>
      <c r="AD114" s="9" t="n">
        <v>41120.3068</v>
      </c>
      <c r="AE114" s="9" t="n">
        <v>0</v>
      </c>
      <c r="AF114" s="9" t="n">
        <v>64546.5</v>
      </c>
      <c r="AG114" s="9" t="n">
        <v>187693.5</v>
      </c>
      <c r="AH114" s="9" t="n">
        <v>188000</v>
      </c>
      <c r="AI114" s="9" t="n">
        <v>185002500</v>
      </c>
      <c r="AJ114" s="9" t="n">
        <v>95540000</v>
      </c>
      <c r="AK114" s="9" t="n">
        <v>54735000</v>
      </c>
      <c r="AL114" s="9" t="n">
        <v>47587207</v>
      </c>
      <c r="AM114" s="9" t="n">
        <v>25900000</v>
      </c>
      <c r="AN114" s="9" t="n">
        <v>61610000</v>
      </c>
      <c r="AO114" s="9" t="n">
        <v>28000000</v>
      </c>
      <c r="AP114" s="9" t="n">
        <v>18333950</v>
      </c>
      <c r="AQ114" s="9" t="n">
        <v>2844</v>
      </c>
      <c r="AR114" s="9" t="n">
        <v>215195</v>
      </c>
      <c r="AS114" s="9" t="n">
        <v>4046.5</v>
      </c>
    </row>
    <row r="115">
      <c r="A115" s="11" t="n">
        <v>46221</v>
      </c>
      <c r="B115" s="9" t="n">
        <v>4351819789</v>
      </c>
      <c r="C115" s="9" t="n">
        <v>96590000</v>
      </c>
      <c r="D115" s="9" t="n">
        <v>0</v>
      </c>
      <c r="E115" s="9" t="n">
        <v>7718000000</v>
      </c>
      <c r="F115" s="9" t="n">
        <v>0</v>
      </c>
      <c r="G115" s="9" t="n">
        <v>4214058750</v>
      </c>
      <c r="H115" s="9" t="n">
        <v>579540000</v>
      </c>
      <c r="I115" s="9" t="n">
        <v>7017500000</v>
      </c>
      <c r="J115" s="9" t="n">
        <v>0</v>
      </c>
      <c r="K115" s="9" t="n">
        <v>0</v>
      </c>
      <c r="L115" s="9" t="n">
        <v>8565878539</v>
      </c>
      <c r="M115" s="9" t="n">
        <v>676130000</v>
      </c>
      <c r="N115" s="9" t="n">
        <v>7017500000</v>
      </c>
      <c r="O115" s="9" t="n">
        <v>7718000000</v>
      </c>
      <c r="P115" s="9" t="n">
        <v>0</v>
      </c>
      <c r="Q115" s="9" t="n">
        <v>22534.3921</v>
      </c>
      <c r="R115" s="9" t="n">
        <v>500.1582</v>
      </c>
      <c r="S115" s="9" t="n">
        <v>0</v>
      </c>
      <c r="T115" s="9" t="n">
        <v>39965.0826</v>
      </c>
      <c r="U115" s="9" t="n">
        <v>0</v>
      </c>
      <c r="V115" s="9" t="n">
        <v>21821.0774</v>
      </c>
      <c r="W115" s="9" t="n">
        <v>3000.949</v>
      </c>
      <c r="X115" s="9" t="n">
        <v>36337.7775</v>
      </c>
      <c r="Y115" s="9" t="n">
        <v>0</v>
      </c>
      <c r="Z115" s="9" t="n">
        <v>0</v>
      </c>
      <c r="AA115" s="9" t="n">
        <v>44355.4695</v>
      </c>
      <c r="AB115" s="9" t="n">
        <v>3501.1072</v>
      </c>
      <c r="AC115" s="9" t="n">
        <v>36337.7775</v>
      </c>
      <c r="AD115" s="9" t="n">
        <v>39965.0826</v>
      </c>
      <c r="AE115" s="9" t="n">
        <v>0</v>
      </c>
      <c r="AF115" s="9" t="n">
        <v>64060</v>
      </c>
      <c r="AG115" s="9" t="n">
        <v>193119</v>
      </c>
      <c r="AH115" s="9" t="n">
        <v>193180</v>
      </c>
      <c r="AI115" s="9" t="n">
        <v>188376250</v>
      </c>
      <c r="AJ115" s="9" t="n">
        <v>95797500</v>
      </c>
      <c r="AK115" s="9" t="n">
        <v>54120000</v>
      </c>
      <c r="AL115" s="9" t="n">
        <v>47052519.5</v>
      </c>
      <c r="AM115" s="9" t="n">
        <v>25900000</v>
      </c>
      <c r="AN115" s="9" t="n">
        <v>61610000</v>
      </c>
      <c r="AO115" s="9" t="n">
        <v>28500000</v>
      </c>
      <c r="AP115" s="9" t="n">
        <v>18852900</v>
      </c>
      <c r="AQ115" s="9" t="n">
        <v>2807</v>
      </c>
      <c r="AR115" s="9" t="n">
        <v>221452.5</v>
      </c>
      <c r="AS115" s="9" t="n">
        <v>4017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7" customWidth="1" min="4" max="4"/>
    <col width="25" customWidth="1" min="5" max="5"/>
  </cols>
  <sheetData>
    <row r="1">
      <c r="A1" s="7" t="inlineStr">
        <is>
          <t>Asset</t>
        </is>
      </c>
      <c r="B1" s="7" t="inlineStr">
        <is>
          <t>Price</t>
        </is>
      </c>
      <c r="C1" s="7" t="inlineStr">
        <is>
          <t>Unit</t>
        </is>
      </c>
      <c r="D1" s="7" t="inlineStr">
        <is>
          <t>Price Key</t>
        </is>
      </c>
      <c r="E1" s="7" t="inlineStr">
        <is>
          <t>Last Snapshot</t>
        </is>
      </c>
    </row>
    <row r="2">
      <c r="A2" s="8" t="inlineStr">
        <is>
          <t>Bitcoin</t>
        </is>
      </c>
      <c r="B2" s="9" t="n">
        <v>64018</v>
      </c>
      <c r="C2" s="8" t="inlineStr">
        <is>
          <t>USD</t>
        </is>
      </c>
      <c r="D2" s="8" t="inlineStr">
        <is>
          <t>bitcoin_usd</t>
        </is>
      </c>
      <c r="E2" s="8" t="inlineStr">
        <is>
          <t>2026-07-18T16:48:34.642516</t>
        </is>
      </c>
    </row>
    <row r="3">
      <c r="A3" s="8" t="inlineStr">
        <is>
          <t>Tether</t>
        </is>
      </c>
      <c r="B3" s="9" t="n">
        <v>193400</v>
      </c>
      <c r="C3" s="8" t="inlineStr">
        <is>
          <t>IRT</t>
        </is>
      </c>
      <c r="D3" s="8" t="inlineStr">
        <is>
          <t>usdt_irt</t>
        </is>
      </c>
      <c r="E3" s="8" t="inlineStr">
        <is>
          <t>2026-07-18T16:48:34.642516</t>
        </is>
      </c>
    </row>
    <row r="4">
      <c r="A4" s="8" t="inlineStr">
        <is>
          <t>US Dollar</t>
        </is>
      </c>
      <c r="B4" s="9" t="n">
        <v>193400</v>
      </c>
      <c r="C4" s="8" t="inlineStr">
        <is>
          <t>IRT</t>
        </is>
      </c>
      <c r="D4" s="8" t="inlineStr">
        <is>
          <t>usd_cash</t>
        </is>
      </c>
      <c r="E4" s="8" t="inlineStr">
        <is>
          <t>2026-07-18T16:48:34.642516</t>
        </is>
      </c>
    </row>
    <row r="5">
      <c r="A5" s="8" t="inlineStr">
        <is>
          <t>Emami Coin</t>
        </is>
      </c>
      <c r="B5" s="9" t="n">
        <v>188510000</v>
      </c>
      <c r="C5" s="8" t="inlineStr">
        <is>
          <t>IRT</t>
        </is>
      </c>
      <c r="D5" s="8" t="inlineStr">
        <is>
          <t>emami_coin</t>
        </is>
      </c>
      <c r="E5" s="8" t="inlineStr">
        <is>
          <t>2026-07-18T16:48:34.642516</t>
        </is>
      </c>
    </row>
    <row r="6">
      <c r="A6" s="8" t="inlineStr">
        <is>
          <t>Half Coin</t>
        </is>
      </c>
      <c r="B6" s="9" t="n">
        <v>95940000</v>
      </c>
      <c r="C6" s="8" t="inlineStr">
        <is>
          <t>IRT</t>
        </is>
      </c>
      <c r="D6" s="8" t="inlineStr">
        <is>
          <t>half_coin</t>
        </is>
      </c>
      <c r="E6" s="8" t="inlineStr">
        <is>
          <t>2026-07-18T16:48:34.642516</t>
        </is>
      </c>
    </row>
    <row r="7">
      <c r="A7" s="8" t="inlineStr">
        <is>
          <t>Quarter Coin</t>
        </is>
      </c>
      <c r="B7" s="9" t="n">
        <v>54060000</v>
      </c>
      <c r="C7" s="8" t="inlineStr">
        <is>
          <t>IRT</t>
        </is>
      </c>
      <c r="D7" s="8" t="inlineStr">
        <is>
          <t>quarter_coin</t>
        </is>
      </c>
      <c r="E7" s="8" t="inlineStr">
        <is>
          <t>2026-07-18T16:48:34.642516</t>
        </is>
      </c>
    </row>
    <row r="8">
      <c r="A8" s="8" t="inlineStr">
        <is>
          <t>Quarter Coin (Pre-86)</t>
        </is>
      </c>
      <c r="B8" s="9" t="n">
        <v>47000355</v>
      </c>
      <c r="C8" s="8" t="inlineStr">
        <is>
          <t>IRT</t>
        </is>
      </c>
      <c r="D8" s="8" t="inlineStr">
        <is>
          <t>quarter_coin_pre86</t>
        </is>
      </c>
      <c r="E8" s="8" t="inlineStr">
        <is>
          <t>2026-07-18T16:48:34.642516</t>
        </is>
      </c>
    </row>
    <row r="9">
      <c r="A9" s="8" t="inlineStr">
        <is>
          <t>Swiss Gold Bar (1g)</t>
        </is>
      </c>
      <c r="B9" s="9" t="n">
        <v>25900000</v>
      </c>
      <c r="C9" s="8" t="inlineStr">
        <is>
          <t>IRT</t>
        </is>
      </c>
      <c r="D9" s="8" t="inlineStr">
        <is>
          <t>swiss_gold_bar_1g</t>
        </is>
      </c>
      <c r="E9" s="8" t="inlineStr">
        <is>
          <t>2026-07-18T16:48:34.642516</t>
        </is>
      </c>
    </row>
    <row r="10">
      <c r="A10" s="8" t="inlineStr">
        <is>
          <t>Swiss Gold Bar (2.5g)</t>
        </is>
      </c>
      <c r="B10" s="9" t="n">
        <v>61610000</v>
      </c>
      <c r="C10" s="8" t="inlineStr">
        <is>
          <t>IRT</t>
        </is>
      </c>
      <c r="D10" s="8" t="inlineStr">
        <is>
          <t>swiss_gold_bar_2_5g</t>
        </is>
      </c>
      <c r="E10" s="8" t="inlineStr">
        <is>
          <t>2026-07-18T16:48:34.642516</t>
        </is>
      </c>
    </row>
    <row r="11">
      <c r="A11" s="8" t="inlineStr">
        <is>
          <t>1g Coin</t>
        </is>
      </c>
      <c r="B11" s="9" t="n">
        <v>28500000</v>
      </c>
      <c r="C11" s="8" t="inlineStr">
        <is>
          <t>IRT</t>
        </is>
      </c>
      <c r="D11" s="8" t="inlineStr">
        <is>
          <t>one_gram_coin</t>
        </is>
      </c>
      <c r="E11" s="8" t="inlineStr">
        <is>
          <t>2026-07-18T16:48:34.642516</t>
        </is>
      </c>
    </row>
    <row r="12">
      <c r="A12" s="8" t="inlineStr">
        <is>
          <t>Gold Gram (18K)</t>
        </is>
      </c>
      <c r="B12" s="9" t="n">
        <v>18894900</v>
      </c>
      <c r="C12" s="8" t="inlineStr">
        <is>
          <t>IRT</t>
        </is>
      </c>
      <c r="D12" s="8" t="inlineStr">
        <is>
          <t>gold_18k_gram</t>
        </is>
      </c>
      <c r="E12" s="8" t="inlineStr">
        <is>
          <t>2026-07-18T16:48:34.642516</t>
        </is>
      </c>
    </row>
    <row r="13">
      <c r="A13" s="8" t="inlineStr">
        <is>
          <t>KAMA Stock</t>
        </is>
      </c>
      <c r="B13" s="9" t="n">
        <v>2807</v>
      </c>
      <c r="C13" s="8" t="inlineStr">
        <is>
          <t>IRT</t>
        </is>
      </c>
      <c r="D13" s="8" t="inlineStr">
        <is>
          <t>kama_stock</t>
        </is>
      </c>
      <c r="E13" s="8" t="inlineStr">
        <is>
          <t>2026-07-18T16:48:34.642516</t>
        </is>
      </c>
    </row>
    <row r="14">
      <c r="A14" s="8" t="inlineStr">
        <is>
          <t>Euro</t>
        </is>
      </c>
      <c r="B14" s="9" t="n">
        <v>221780</v>
      </c>
      <c r="C14" s="8" t="inlineStr">
        <is>
          <t>IRT</t>
        </is>
      </c>
      <c r="D14" s="8" t="inlineStr">
        <is>
          <t>euro_cash</t>
        </is>
      </c>
      <c r="E14" s="8" t="inlineStr">
        <is>
          <t>2026-07-18T16:48:34.642516</t>
        </is>
      </c>
    </row>
    <row r="15">
      <c r="A15" s="8" t="inlineStr">
        <is>
          <t>Gold Ounce (Global)</t>
        </is>
      </c>
      <c r="B15" s="9" t="n">
        <v>4017</v>
      </c>
      <c r="C15" s="8" t="inlineStr">
        <is>
          <t>USD</t>
        </is>
      </c>
      <c r="D15" s="8" t="inlineStr">
        <is>
          <t>gold_ounce_usd</t>
        </is>
      </c>
      <c r="E15" s="8" t="inlineStr">
        <is>
          <t>2026-07-18T16:48:34.642516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3" customWidth="1" min="4" max="4"/>
    <col width="11" customWidth="1" min="5" max="5"/>
  </cols>
  <sheetData>
    <row r="1">
      <c r="A1" s="7" t="inlineStr">
        <is>
          <t>Currency</t>
        </is>
      </c>
      <c r="B1" s="7" t="inlineStr">
        <is>
          <t>Owner</t>
        </is>
      </c>
      <c r="C1" s="7" t="inlineStr">
        <is>
          <t>Asset Class</t>
        </is>
      </c>
      <c r="D1" s="7" t="inlineStr">
        <is>
          <t>Value</t>
        </is>
      </c>
      <c r="E1" s="7" t="inlineStr">
        <is>
          <t>Share</t>
        </is>
      </c>
    </row>
    <row r="2">
      <c r="A2" s="8" t="inlineStr">
        <is>
          <t>IRT</t>
        </is>
      </c>
      <c r="B2" s="8" t="inlineStr">
        <is>
          <t>Mother</t>
        </is>
      </c>
      <c r="C2" s="8" t="inlineStr">
        <is>
          <t>Gold</t>
        </is>
      </c>
      <c r="D2" s="9" t="n">
        <v>4358299210</v>
      </c>
      <c r="E2" s="10">
        <f>IFERROR(D2/SUMIFS(D:D,A:A,A2,B:B,B2),0)</f>
        <v/>
      </c>
    </row>
    <row r="3">
      <c r="A3" s="8" t="inlineStr">
        <is>
          <t>IRT</t>
        </is>
      </c>
      <c r="B3" s="8" t="inlineStr">
        <is>
          <t>Mother</t>
        </is>
      </c>
      <c r="C3" s="8" t="inlineStr">
        <is>
          <t>Cash</t>
        </is>
      </c>
      <c r="D3" s="9" t="n">
        <v>96700000</v>
      </c>
      <c r="E3" s="10">
        <f>IFERROR(D3/SUMIFS(D:D,A:A,A3,B:B,B3),0)</f>
        <v/>
      </c>
    </row>
    <row r="4">
      <c r="A4" s="8" t="inlineStr">
        <is>
          <t>IRT</t>
        </is>
      </c>
      <c r="B4" s="8" t="inlineStr">
        <is>
          <t>Mother</t>
        </is>
      </c>
      <c r="C4" s="8" t="inlineStr">
        <is>
          <t>Stock</t>
        </is>
      </c>
      <c r="D4" s="9" t="n">
        <v>0</v>
      </c>
      <c r="E4" s="10">
        <f>IFERROR(D4/SUMIFS(D:D,A:A,A4,B:B,B4),0)</f>
        <v/>
      </c>
    </row>
    <row r="5">
      <c r="A5" s="8" t="inlineStr">
        <is>
          <t>IRT</t>
        </is>
      </c>
      <c r="B5" s="8" t="inlineStr">
        <is>
          <t>Mother</t>
        </is>
      </c>
      <c r="C5" s="8" t="inlineStr">
        <is>
          <t>Real Estate</t>
        </is>
      </c>
      <c r="D5" s="9" t="n">
        <v>7718000000</v>
      </c>
      <c r="E5" s="10">
        <f>IFERROR(D5/SUMIFS(D:D,A:A,A5,B:B,B5),0)</f>
        <v/>
      </c>
    </row>
    <row r="6">
      <c r="A6" s="8" t="inlineStr">
        <is>
          <t>IRT</t>
        </is>
      </c>
      <c r="B6" s="8" t="inlineStr">
        <is>
          <t>Mother</t>
        </is>
      </c>
      <c r="C6" s="8" t="inlineStr">
        <is>
          <t>Crypto</t>
        </is>
      </c>
      <c r="D6" s="9" t="n">
        <v>0</v>
      </c>
      <c r="E6" s="10">
        <f>IFERROR(D6/SUMIFS(D:D,A:A,A6,B:B,B6),0)</f>
        <v/>
      </c>
    </row>
    <row r="7">
      <c r="A7" s="8" t="inlineStr">
        <is>
          <t>IRT</t>
        </is>
      </c>
      <c r="B7" s="8" t="inlineStr">
        <is>
          <t>Father</t>
        </is>
      </c>
      <c r="C7" s="8" t="inlineStr">
        <is>
          <t>Gold</t>
        </is>
      </c>
      <c r="D7" s="9" t="n">
        <v>4216830000</v>
      </c>
      <c r="E7" s="10">
        <f>IFERROR(D7/SUMIFS(D:D,A:A,A7,B:B,B7),0)</f>
        <v/>
      </c>
    </row>
    <row r="8">
      <c r="A8" s="8" t="inlineStr">
        <is>
          <t>IRT</t>
        </is>
      </c>
      <c r="B8" s="8" t="inlineStr">
        <is>
          <t>Father</t>
        </is>
      </c>
      <c r="C8" s="8" t="inlineStr">
        <is>
          <t>Cash</t>
        </is>
      </c>
      <c r="D8" s="9" t="n">
        <v>580200000</v>
      </c>
      <c r="E8" s="10">
        <f>IFERROR(D8/SUMIFS(D:D,A:A,A8,B:B,B8),0)</f>
        <v/>
      </c>
    </row>
    <row r="9">
      <c r="A9" s="8" t="inlineStr">
        <is>
          <t>IRT</t>
        </is>
      </c>
      <c r="B9" s="8" t="inlineStr">
        <is>
          <t>Father</t>
        </is>
      </c>
      <c r="C9" s="8" t="inlineStr">
        <is>
          <t>Stock</t>
        </is>
      </c>
      <c r="D9" s="9" t="n">
        <v>7017500000</v>
      </c>
      <c r="E9" s="10">
        <f>IFERROR(D9/SUMIFS(D:D,A:A,A9,B:B,B9),0)</f>
        <v/>
      </c>
    </row>
    <row r="10">
      <c r="A10" s="8" t="inlineStr">
        <is>
          <t>IRT</t>
        </is>
      </c>
      <c r="B10" s="8" t="inlineStr">
        <is>
          <t>Father</t>
        </is>
      </c>
      <c r="C10" s="8" t="inlineStr">
        <is>
          <t>Real Estate</t>
        </is>
      </c>
      <c r="D10" s="9" t="n">
        <v>0</v>
      </c>
      <c r="E10" s="10">
        <f>IFERROR(D10/SUMIFS(D:D,A:A,A10,B:B,B10),0)</f>
        <v/>
      </c>
    </row>
    <row r="11">
      <c r="A11" s="8" t="inlineStr">
        <is>
          <t>IRT</t>
        </is>
      </c>
      <c r="B11" s="8" t="inlineStr">
        <is>
          <t>Father</t>
        </is>
      </c>
      <c r="C11" s="8" t="inlineStr">
        <is>
          <t>Crypto</t>
        </is>
      </c>
      <c r="D11" s="9" t="n">
        <v>0</v>
      </c>
      <c r="E11" s="10">
        <f>IFERROR(D11/SUMIFS(D:D,A:A,A11,B:B,B11),0)</f>
        <v/>
      </c>
    </row>
    <row r="12">
      <c r="A12" s="8" t="inlineStr">
        <is>
          <t>IRT</t>
        </is>
      </c>
      <c r="B12" s="8" t="inlineStr">
        <is>
          <t>Total</t>
        </is>
      </c>
      <c r="C12" s="8" t="inlineStr">
        <is>
          <t>Gold</t>
        </is>
      </c>
      <c r="D12" s="9" t="n">
        <v>8575129210</v>
      </c>
      <c r="E12" s="10">
        <f>IFERROR(D12/SUMIFS(D:D,A:A,A12,B:B,B12),0)</f>
        <v/>
      </c>
    </row>
    <row r="13">
      <c r="A13" s="8" t="inlineStr">
        <is>
          <t>IRT</t>
        </is>
      </c>
      <c r="B13" s="8" t="inlineStr">
        <is>
          <t>Total</t>
        </is>
      </c>
      <c r="C13" s="8" t="inlineStr">
        <is>
          <t>Cash</t>
        </is>
      </c>
      <c r="D13" s="9" t="n">
        <v>676900000</v>
      </c>
      <c r="E13" s="10">
        <f>IFERROR(D13/SUMIFS(D:D,A:A,A13,B:B,B13),0)</f>
        <v/>
      </c>
    </row>
    <row r="14">
      <c r="A14" s="8" t="inlineStr">
        <is>
          <t>IRT</t>
        </is>
      </c>
      <c r="B14" s="8" t="inlineStr">
        <is>
          <t>Total</t>
        </is>
      </c>
      <c r="C14" s="8" t="inlineStr">
        <is>
          <t>Stock</t>
        </is>
      </c>
      <c r="D14" s="9" t="n">
        <v>7017500000</v>
      </c>
      <c r="E14" s="10">
        <f>IFERROR(D14/SUMIFS(D:D,A:A,A14,B:B,B14),0)</f>
        <v/>
      </c>
    </row>
    <row r="15">
      <c r="A15" s="8" t="inlineStr">
        <is>
          <t>IRT</t>
        </is>
      </c>
      <c r="B15" s="8" t="inlineStr">
        <is>
          <t>Total</t>
        </is>
      </c>
      <c r="C15" s="8" t="inlineStr">
        <is>
          <t>Real Estate</t>
        </is>
      </c>
      <c r="D15" s="9" t="n">
        <v>7718000000</v>
      </c>
      <c r="E15" s="10">
        <f>IFERROR(D15/SUMIFS(D:D,A:A,A15,B:B,B15),0)</f>
        <v/>
      </c>
    </row>
    <row r="16">
      <c r="A16" s="8" t="inlineStr">
        <is>
          <t>IRT</t>
        </is>
      </c>
      <c r="B16" s="8" t="inlineStr">
        <is>
          <t>Total</t>
        </is>
      </c>
      <c r="C16" s="8" t="inlineStr">
        <is>
          <t>Crypto</t>
        </is>
      </c>
      <c r="D16" s="9" t="n">
        <v>0</v>
      </c>
      <c r="E16" s="10">
        <f>IFERROR(D16/SUMIFS(D:D,A:A,A16,B:B,B16),0)</f>
        <v/>
      </c>
    </row>
    <row r="17">
      <c r="A17" s="8" t="inlineStr">
        <is>
          <t>USD</t>
        </is>
      </c>
      <c r="B17" s="8" t="inlineStr">
        <is>
          <t>Mother</t>
        </is>
      </c>
      <c r="C17" s="8" t="inlineStr">
        <is>
          <t>Gold</t>
        </is>
      </c>
      <c r="D17" s="9" t="n">
        <v>22535.15620475698</v>
      </c>
      <c r="E17" s="10">
        <f>IFERROR(D17/SUMIFS(D:D,A:A,A17,B:B,B17),0)</f>
        <v/>
      </c>
    </row>
    <row r="18">
      <c r="A18" s="8" t="inlineStr">
        <is>
          <t>USD</t>
        </is>
      </c>
      <c r="B18" s="8" t="inlineStr">
        <is>
          <t>Mother</t>
        </is>
      </c>
      <c r="C18" s="8" t="inlineStr">
        <is>
          <t>Cash</t>
        </is>
      </c>
      <c r="D18" s="9" t="n">
        <v>500</v>
      </c>
      <c r="E18" s="10">
        <f>IFERROR(D18/SUMIFS(D:D,A:A,A18,B:B,B18),0)</f>
        <v/>
      </c>
    </row>
    <row r="19">
      <c r="A19" s="8" t="inlineStr">
        <is>
          <t>USD</t>
        </is>
      </c>
      <c r="B19" s="8" t="inlineStr">
        <is>
          <t>Mother</t>
        </is>
      </c>
      <c r="C19" s="8" t="inlineStr">
        <is>
          <t>Stock</t>
        </is>
      </c>
      <c r="D19" s="9" t="n">
        <v>0</v>
      </c>
      <c r="E19" s="10">
        <f>IFERROR(D19/SUMIFS(D:D,A:A,A19,B:B,B19),0)</f>
        <v/>
      </c>
    </row>
    <row r="20">
      <c r="A20" s="8" t="inlineStr">
        <is>
          <t>USD</t>
        </is>
      </c>
      <c r="B20" s="8" t="inlineStr">
        <is>
          <t>Mother</t>
        </is>
      </c>
      <c r="C20" s="8" t="inlineStr">
        <is>
          <t>Real Estate</t>
        </is>
      </c>
      <c r="D20" s="9" t="n">
        <v>39906.92864529473</v>
      </c>
      <c r="E20" s="10">
        <f>IFERROR(D20/SUMIFS(D:D,A:A,A20,B:B,B20),0)</f>
        <v/>
      </c>
    </row>
    <row r="21">
      <c r="A21" s="8" t="inlineStr">
        <is>
          <t>USD</t>
        </is>
      </c>
      <c r="B21" s="8" t="inlineStr">
        <is>
          <t>Mother</t>
        </is>
      </c>
      <c r="C21" s="8" t="inlineStr">
        <is>
          <t>Crypto</t>
        </is>
      </c>
      <c r="D21" s="9" t="n">
        <v>0</v>
      </c>
      <c r="E21" s="10">
        <f>IFERROR(D21/SUMIFS(D:D,A:A,A21,B:B,B21),0)</f>
        <v/>
      </c>
    </row>
    <row r="22">
      <c r="A22" s="8" t="inlineStr">
        <is>
          <t>USD</t>
        </is>
      </c>
      <c r="B22" s="8" t="inlineStr">
        <is>
          <t>Father</t>
        </is>
      </c>
      <c r="C22" s="8" t="inlineStr">
        <is>
          <t>Gold</t>
        </is>
      </c>
      <c r="D22" s="9" t="n">
        <v>21803.67114788004</v>
      </c>
      <c r="E22" s="10">
        <f>IFERROR(D22/SUMIFS(D:D,A:A,A22,B:B,B22),0)</f>
        <v/>
      </c>
    </row>
    <row r="23">
      <c r="A23" s="8" t="inlineStr">
        <is>
          <t>USD</t>
        </is>
      </c>
      <c r="B23" s="8" t="inlineStr">
        <is>
          <t>Father</t>
        </is>
      </c>
      <c r="C23" s="8" t="inlineStr">
        <is>
          <t>Cash</t>
        </is>
      </c>
      <c r="D23" s="9" t="n">
        <v>3000</v>
      </c>
      <c r="E23" s="10">
        <f>IFERROR(D23/SUMIFS(D:D,A:A,A23,B:B,B23),0)</f>
        <v/>
      </c>
    </row>
    <row r="24">
      <c r="A24" s="8" t="inlineStr">
        <is>
          <t>USD</t>
        </is>
      </c>
      <c r="B24" s="8" t="inlineStr">
        <is>
          <t>Father</t>
        </is>
      </c>
      <c r="C24" s="8" t="inlineStr">
        <is>
          <t>Stock</t>
        </is>
      </c>
      <c r="D24" s="9" t="n">
        <v>36284.90175801448</v>
      </c>
      <c r="E24" s="10">
        <f>IFERROR(D24/SUMIFS(D:D,A:A,A24,B:B,B24),0)</f>
        <v/>
      </c>
    </row>
    <row r="25">
      <c r="A25" s="8" t="inlineStr">
        <is>
          <t>USD</t>
        </is>
      </c>
      <c r="B25" s="8" t="inlineStr">
        <is>
          <t>Father</t>
        </is>
      </c>
      <c r="C25" s="8" t="inlineStr">
        <is>
          <t>Real Estate</t>
        </is>
      </c>
      <c r="D25" s="9" t="n">
        <v>0</v>
      </c>
      <c r="E25" s="10">
        <f>IFERROR(D25/SUMIFS(D:D,A:A,A25,B:B,B25),0)</f>
        <v/>
      </c>
    </row>
    <row r="26">
      <c r="A26" s="8" t="inlineStr">
        <is>
          <t>USD</t>
        </is>
      </c>
      <c r="B26" s="8" t="inlineStr">
        <is>
          <t>Father</t>
        </is>
      </c>
      <c r="C26" s="8" t="inlineStr">
        <is>
          <t>Crypto</t>
        </is>
      </c>
      <c r="D26" s="9" t="n">
        <v>0</v>
      </c>
      <c r="E26" s="10">
        <f>IFERROR(D26/SUMIFS(D:D,A:A,A26,B:B,B26),0)</f>
        <v/>
      </c>
    </row>
    <row r="27">
      <c r="A27" s="8" t="inlineStr">
        <is>
          <t>USD</t>
        </is>
      </c>
      <c r="B27" s="8" t="inlineStr">
        <is>
          <t>Total</t>
        </is>
      </c>
      <c r="C27" s="8" t="inlineStr">
        <is>
          <t>Gold</t>
        </is>
      </c>
      <c r="D27" s="9" t="n">
        <v>44338.82735263703</v>
      </c>
      <c r="E27" s="10">
        <f>IFERROR(D27/SUMIFS(D:D,A:A,A27,B:B,B27),0)</f>
        <v/>
      </c>
    </row>
    <row r="28">
      <c r="A28" s="8" t="inlineStr">
        <is>
          <t>USD</t>
        </is>
      </c>
      <c r="B28" s="8" t="inlineStr">
        <is>
          <t>Total</t>
        </is>
      </c>
      <c r="C28" s="8" t="inlineStr">
        <is>
          <t>Cash</t>
        </is>
      </c>
      <c r="D28" s="9" t="n">
        <v>3500</v>
      </c>
      <c r="E28" s="10">
        <f>IFERROR(D28/SUMIFS(D:D,A:A,A28,B:B,B28),0)</f>
        <v/>
      </c>
    </row>
    <row r="29">
      <c r="A29" s="8" t="inlineStr">
        <is>
          <t>USD</t>
        </is>
      </c>
      <c r="B29" s="8" t="inlineStr">
        <is>
          <t>Total</t>
        </is>
      </c>
      <c r="C29" s="8" t="inlineStr">
        <is>
          <t>Stock</t>
        </is>
      </c>
      <c r="D29" s="9" t="n">
        <v>36284.90175801448</v>
      </c>
      <c r="E29" s="10">
        <f>IFERROR(D29/SUMIFS(D:D,A:A,A29,B:B,B29),0)</f>
        <v/>
      </c>
    </row>
    <row r="30">
      <c r="A30" s="8" t="inlineStr">
        <is>
          <t>USD</t>
        </is>
      </c>
      <c r="B30" s="8" t="inlineStr">
        <is>
          <t>Total</t>
        </is>
      </c>
      <c r="C30" s="8" t="inlineStr">
        <is>
          <t>Real Estate</t>
        </is>
      </c>
      <c r="D30" s="9" t="n">
        <v>39906.92864529473</v>
      </c>
      <c r="E30" s="10">
        <f>IFERROR(D30/SUMIFS(D:D,A:A,A30,B:B,B30),0)</f>
        <v/>
      </c>
    </row>
    <row r="31">
      <c r="A31" s="8" t="inlineStr">
        <is>
          <t>USD</t>
        </is>
      </c>
      <c r="B31" s="8" t="inlineStr">
        <is>
          <t>Total</t>
        </is>
      </c>
      <c r="C31" s="8" t="inlineStr">
        <is>
          <t>Crypto</t>
        </is>
      </c>
      <c r="D31" s="9" t="n">
        <v>0</v>
      </c>
      <c r="E31" s="10">
        <f>IFERROR(D31/SUMIFS(D:D,A:A,A31,B:B,B31),0)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7" t="inlineStr">
        <is>
          <t>Date</t>
        </is>
      </c>
      <c r="B1" s="7" t="inlineStr">
        <is>
          <t>Total IRT</t>
        </is>
      </c>
      <c r="C1" s="7" t="inlineStr">
        <is>
          <t>Total USD</t>
        </is>
      </c>
      <c r="D1" s="7" t="inlineStr">
        <is>
          <t>Mother IRT</t>
        </is>
      </c>
      <c r="E1" s="7" t="inlineStr">
        <is>
          <t>Father IRT</t>
        </is>
      </c>
      <c r="F1" s="7" t="inlineStr">
        <is>
          <t>Gold IRT</t>
        </is>
      </c>
      <c r="G1" s="7" t="inlineStr">
        <is>
          <t>Cash IRT</t>
        </is>
      </c>
      <c r="H1" s="7" t="inlineStr">
        <is>
          <t>Stock IRT</t>
        </is>
      </c>
      <c r="I1" s="7" t="inlineStr">
        <is>
          <t>Real Estate IRT</t>
        </is>
      </c>
      <c r="J1" s="7" t="inlineStr">
        <is>
          <t>Crypto IRT</t>
        </is>
      </c>
    </row>
    <row r="2">
      <c r="A2" s="11">
        <f>History_Data!A2</f>
        <v/>
      </c>
      <c r="B2" s="9">
        <f>History_Data!L2+History_Data!M2+History_Data!N2+History_Data!O2+History_Data!P2</f>
        <v/>
      </c>
      <c r="C2" s="9">
        <f>History_Data!AA2+History_Data!AB2+History_Data!AC2+History_Data!AD2+History_Data!AE2</f>
        <v/>
      </c>
      <c r="D2" s="9">
        <f>History_Data!B2+History_Data!C2+History_Data!D2+History_Data!E2+History_Data!F2</f>
        <v/>
      </c>
      <c r="E2" s="9">
        <f>History_Data!G2+History_Data!H2+History_Data!I2+History_Data!J2+History_Data!K2</f>
        <v/>
      </c>
      <c r="F2" s="9">
        <f>History_Data!L2</f>
        <v/>
      </c>
      <c r="G2" s="9">
        <f>History_Data!M2</f>
        <v/>
      </c>
      <c r="H2" s="9">
        <f>History_Data!N2</f>
        <v/>
      </c>
      <c r="I2" s="9">
        <f>History_Data!O2</f>
        <v/>
      </c>
      <c r="J2" s="9">
        <f>History_Data!P2</f>
        <v/>
      </c>
    </row>
    <row r="3">
      <c r="A3" s="11">
        <f>History_Data!A3</f>
        <v/>
      </c>
      <c r="B3" s="9">
        <f>History_Data!L3+History_Data!M3+History_Data!N3+History_Data!O3+History_Data!P3</f>
        <v/>
      </c>
      <c r="C3" s="9">
        <f>History_Data!AA3+History_Data!AB3+History_Data!AC3+History_Data!AD3+History_Data!AE3</f>
        <v/>
      </c>
      <c r="D3" s="9">
        <f>History_Data!B3+History_Data!C3+History_Data!D3+History_Data!E3+History_Data!F3</f>
        <v/>
      </c>
      <c r="E3" s="9">
        <f>History_Data!G3+History_Data!H3+History_Data!I3+History_Data!J3+History_Data!K3</f>
        <v/>
      </c>
      <c r="F3" s="9">
        <f>History_Data!L3</f>
        <v/>
      </c>
      <c r="G3" s="9">
        <f>History_Data!M3</f>
        <v/>
      </c>
      <c r="H3" s="9">
        <f>History_Data!N3</f>
        <v/>
      </c>
      <c r="I3" s="9">
        <f>History_Data!O3</f>
        <v/>
      </c>
      <c r="J3" s="9">
        <f>History_Data!P3</f>
        <v/>
      </c>
    </row>
    <row r="4">
      <c r="A4" s="11">
        <f>History_Data!A4</f>
        <v/>
      </c>
      <c r="B4" s="9">
        <f>History_Data!L4+History_Data!M4+History_Data!N4+History_Data!O4+History_Data!P4</f>
        <v/>
      </c>
      <c r="C4" s="9">
        <f>History_Data!AA4+History_Data!AB4+History_Data!AC4+History_Data!AD4+History_Data!AE4</f>
        <v/>
      </c>
      <c r="D4" s="9">
        <f>History_Data!B4+History_Data!C4+History_Data!D4+History_Data!E4+History_Data!F4</f>
        <v/>
      </c>
      <c r="E4" s="9">
        <f>History_Data!G4+History_Data!H4+History_Data!I4+History_Data!J4+History_Data!K4</f>
        <v/>
      </c>
      <c r="F4" s="9">
        <f>History_Data!L4</f>
        <v/>
      </c>
      <c r="G4" s="9">
        <f>History_Data!M4</f>
        <v/>
      </c>
      <c r="H4" s="9">
        <f>History_Data!N4</f>
        <v/>
      </c>
      <c r="I4" s="9">
        <f>History_Data!O4</f>
        <v/>
      </c>
      <c r="J4" s="9">
        <f>History_Data!P4</f>
        <v/>
      </c>
    </row>
    <row r="5">
      <c r="A5" s="11">
        <f>History_Data!A5</f>
        <v/>
      </c>
      <c r="B5" s="9">
        <f>History_Data!L5+History_Data!M5+History_Data!N5+History_Data!O5+History_Data!P5</f>
        <v/>
      </c>
      <c r="C5" s="9">
        <f>History_Data!AA5+History_Data!AB5+History_Data!AC5+History_Data!AD5+History_Data!AE5</f>
        <v/>
      </c>
      <c r="D5" s="9">
        <f>History_Data!B5+History_Data!C5+History_Data!D5+History_Data!E5+History_Data!F5</f>
        <v/>
      </c>
      <c r="E5" s="9">
        <f>History_Data!G5+History_Data!H5+History_Data!I5+History_Data!J5+History_Data!K5</f>
        <v/>
      </c>
      <c r="F5" s="9">
        <f>History_Data!L5</f>
        <v/>
      </c>
      <c r="G5" s="9">
        <f>History_Data!M5</f>
        <v/>
      </c>
      <c r="H5" s="9">
        <f>History_Data!N5</f>
        <v/>
      </c>
      <c r="I5" s="9">
        <f>History_Data!O5</f>
        <v/>
      </c>
      <c r="J5" s="9">
        <f>History_Data!P5</f>
        <v/>
      </c>
    </row>
    <row r="6">
      <c r="A6" s="11">
        <f>History_Data!A6</f>
        <v/>
      </c>
      <c r="B6" s="9">
        <f>History_Data!L6+History_Data!M6+History_Data!N6+History_Data!O6+History_Data!P6</f>
        <v/>
      </c>
      <c r="C6" s="9">
        <f>History_Data!AA6+History_Data!AB6+History_Data!AC6+History_Data!AD6+History_Data!AE6</f>
        <v/>
      </c>
      <c r="D6" s="9">
        <f>History_Data!B6+History_Data!C6+History_Data!D6+History_Data!E6+History_Data!F6</f>
        <v/>
      </c>
      <c r="E6" s="9">
        <f>History_Data!G6+History_Data!H6+History_Data!I6+History_Data!J6+History_Data!K6</f>
        <v/>
      </c>
      <c r="F6" s="9">
        <f>History_Data!L6</f>
        <v/>
      </c>
      <c r="G6" s="9">
        <f>History_Data!M6</f>
        <v/>
      </c>
      <c r="H6" s="9">
        <f>History_Data!N6</f>
        <v/>
      </c>
      <c r="I6" s="9">
        <f>History_Data!O6</f>
        <v/>
      </c>
      <c r="J6" s="9">
        <f>History_Data!P6</f>
        <v/>
      </c>
    </row>
    <row r="7">
      <c r="A7" s="11">
        <f>History_Data!A7</f>
        <v/>
      </c>
      <c r="B7" s="9">
        <f>History_Data!L7+History_Data!M7+History_Data!N7+History_Data!O7+History_Data!P7</f>
        <v/>
      </c>
      <c r="C7" s="9">
        <f>History_Data!AA7+History_Data!AB7+History_Data!AC7+History_Data!AD7+History_Data!AE7</f>
        <v/>
      </c>
      <c r="D7" s="9">
        <f>History_Data!B7+History_Data!C7+History_Data!D7+History_Data!E7+History_Data!F7</f>
        <v/>
      </c>
      <c r="E7" s="9">
        <f>History_Data!G7+History_Data!H7+History_Data!I7+History_Data!J7+History_Data!K7</f>
        <v/>
      </c>
      <c r="F7" s="9">
        <f>History_Data!L7</f>
        <v/>
      </c>
      <c r="G7" s="9">
        <f>History_Data!M7</f>
        <v/>
      </c>
      <c r="H7" s="9">
        <f>History_Data!N7</f>
        <v/>
      </c>
      <c r="I7" s="9">
        <f>History_Data!O7</f>
        <v/>
      </c>
      <c r="J7" s="9">
        <f>History_Data!P7</f>
        <v/>
      </c>
    </row>
    <row r="8">
      <c r="A8" s="11">
        <f>History_Data!A8</f>
        <v/>
      </c>
      <c r="B8" s="9">
        <f>History_Data!L8+History_Data!M8+History_Data!N8+History_Data!O8+History_Data!P8</f>
        <v/>
      </c>
      <c r="C8" s="9">
        <f>History_Data!AA8+History_Data!AB8+History_Data!AC8+History_Data!AD8+History_Data!AE8</f>
        <v/>
      </c>
      <c r="D8" s="9">
        <f>History_Data!B8+History_Data!C8+History_Data!D8+History_Data!E8+History_Data!F8</f>
        <v/>
      </c>
      <c r="E8" s="9">
        <f>History_Data!G8+History_Data!H8+History_Data!I8+History_Data!J8+History_Data!K8</f>
        <v/>
      </c>
      <c r="F8" s="9">
        <f>History_Data!L8</f>
        <v/>
      </c>
      <c r="G8" s="9">
        <f>History_Data!M8</f>
        <v/>
      </c>
      <c r="H8" s="9">
        <f>History_Data!N8</f>
        <v/>
      </c>
      <c r="I8" s="9">
        <f>History_Data!O8</f>
        <v/>
      </c>
      <c r="J8" s="9">
        <f>History_Data!P8</f>
        <v/>
      </c>
    </row>
    <row r="9">
      <c r="A9" s="11">
        <f>History_Data!A9</f>
        <v/>
      </c>
      <c r="B9" s="9">
        <f>History_Data!L9+History_Data!M9+History_Data!N9+History_Data!O9+History_Data!P9</f>
        <v/>
      </c>
      <c r="C9" s="9">
        <f>History_Data!AA9+History_Data!AB9+History_Data!AC9+History_Data!AD9+History_Data!AE9</f>
        <v/>
      </c>
      <c r="D9" s="9">
        <f>History_Data!B9+History_Data!C9+History_Data!D9+History_Data!E9+History_Data!F9</f>
        <v/>
      </c>
      <c r="E9" s="9">
        <f>History_Data!G9+History_Data!H9+History_Data!I9+History_Data!J9+History_Data!K9</f>
        <v/>
      </c>
      <c r="F9" s="9">
        <f>History_Data!L9</f>
        <v/>
      </c>
      <c r="G9" s="9">
        <f>History_Data!M9</f>
        <v/>
      </c>
      <c r="H9" s="9">
        <f>History_Data!N9</f>
        <v/>
      </c>
      <c r="I9" s="9">
        <f>History_Data!O9</f>
        <v/>
      </c>
      <c r="J9" s="9">
        <f>History_Data!P9</f>
        <v/>
      </c>
    </row>
    <row r="10">
      <c r="A10" s="11">
        <f>History_Data!A10</f>
        <v/>
      </c>
      <c r="B10" s="9">
        <f>History_Data!L10+History_Data!M10+History_Data!N10+History_Data!O10+History_Data!P10</f>
        <v/>
      </c>
      <c r="C10" s="9">
        <f>History_Data!AA10+History_Data!AB10+History_Data!AC10+History_Data!AD10+History_Data!AE10</f>
        <v/>
      </c>
      <c r="D10" s="9">
        <f>History_Data!B10+History_Data!C10+History_Data!D10+History_Data!E10+History_Data!F10</f>
        <v/>
      </c>
      <c r="E10" s="9">
        <f>History_Data!G10+History_Data!H10+History_Data!I10+History_Data!J10+History_Data!K10</f>
        <v/>
      </c>
      <c r="F10" s="9">
        <f>History_Data!L10</f>
        <v/>
      </c>
      <c r="G10" s="9">
        <f>History_Data!M10</f>
        <v/>
      </c>
      <c r="H10" s="9">
        <f>History_Data!N10</f>
        <v/>
      </c>
      <c r="I10" s="9">
        <f>History_Data!O10</f>
        <v/>
      </c>
      <c r="J10" s="9">
        <f>History_Data!P10</f>
        <v/>
      </c>
    </row>
    <row r="11">
      <c r="A11" s="11">
        <f>History_Data!A11</f>
        <v/>
      </c>
      <c r="B11" s="9">
        <f>History_Data!L11+History_Data!M11+History_Data!N11+History_Data!O11+History_Data!P11</f>
        <v/>
      </c>
      <c r="C11" s="9">
        <f>History_Data!AA11+History_Data!AB11+History_Data!AC11+History_Data!AD11+History_Data!AE11</f>
        <v/>
      </c>
      <c r="D11" s="9">
        <f>History_Data!B11+History_Data!C11+History_Data!D11+History_Data!E11+History_Data!F11</f>
        <v/>
      </c>
      <c r="E11" s="9">
        <f>History_Data!G11+History_Data!H11+History_Data!I11+History_Data!J11+History_Data!K11</f>
        <v/>
      </c>
      <c r="F11" s="9">
        <f>History_Data!L11</f>
        <v/>
      </c>
      <c r="G11" s="9">
        <f>History_Data!M11</f>
        <v/>
      </c>
      <c r="H11" s="9">
        <f>History_Data!N11</f>
        <v/>
      </c>
      <c r="I11" s="9">
        <f>History_Data!O11</f>
        <v/>
      </c>
      <c r="J11" s="9">
        <f>History_Data!P11</f>
        <v/>
      </c>
    </row>
    <row r="12">
      <c r="A12" s="11">
        <f>History_Data!A12</f>
        <v/>
      </c>
      <c r="B12" s="9">
        <f>History_Data!L12+History_Data!M12+History_Data!N12+History_Data!O12+History_Data!P12</f>
        <v/>
      </c>
      <c r="C12" s="9">
        <f>History_Data!AA12+History_Data!AB12+History_Data!AC12+History_Data!AD12+History_Data!AE12</f>
        <v/>
      </c>
      <c r="D12" s="9">
        <f>History_Data!B12+History_Data!C12+History_Data!D12+History_Data!E12+History_Data!F12</f>
        <v/>
      </c>
      <c r="E12" s="9">
        <f>History_Data!G12+History_Data!H12+History_Data!I12+History_Data!J12+History_Data!K12</f>
        <v/>
      </c>
      <c r="F12" s="9">
        <f>History_Data!L12</f>
        <v/>
      </c>
      <c r="G12" s="9">
        <f>History_Data!M12</f>
        <v/>
      </c>
      <c r="H12" s="9">
        <f>History_Data!N12</f>
        <v/>
      </c>
      <c r="I12" s="9">
        <f>History_Data!O12</f>
        <v/>
      </c>
      <c r="J12" s="9">
        <f>History_Data!P12</f>
        <v/>
      </c>
    </row>
    <row r="13">
      <c r="A13" s="11">
        <f>History_Data!A13</f>
        <v/>
      </c>
      <c r="B13" s="9">
        <f>History_Data!L13+History_Data!M13+History_Data!N13+History_Data!O13+History_Data!P13</f>
        <v/>
      </c>
      <c r="C13" s="9">
        <f>History_Data!AA13+History_Data!AB13+History_Data!AC13+History_Data!AD13+History_Data!AE13</f>
        <v/>
      </c>
      <c r="D13" s="9">
        <f>History_Data!B13+History_Data!C13+History_Data!D13+History_Data!E13+History_Data!F13</f>
        <v/>
      </c>
      <c r="E13" s="9">
        <f>History_Data!G13+History_Data!H13+History_Data!I13+History_Data!J13+History_Data!K13</f>
        <v/>
      </c>
      <c r="F13" s="9">
        <f>History_Data!L13</f>
        <v/>
      </c>
      <c r="G13" s="9">
        <f>History_Data!M13</f>
        <v/>
      </c>
      <c r="H13" s="9">
        <f>History_Data!N13</f>
        <v/>
      </c>
      <c r="I13" s="9">
        <f>History_Data!O13</f>
        <v/>
      </c>
      <c r="J13" s="9">
        <f>History_Data!P13</f>
        <v/>
      </c>
    </row>
    <row r="14">
      <c r="A14" s="11">
        <f>History_Data!A14</f>
        <v/>
      </c>
      <c r="B14" s="9">
        <f>History_Data!L14+History_Data!M14+History_Data!N14+History_Data!O14+History_Data!P14</f>
        <v/>
      </c>
      <c r="C14" s="9">
        <f>History_Data!AA14+History_Data!AB14+History_Data!AC14+History_Data!AD14+History_Data!AE14</f>
        <v/>
      </c>
      <c r="D14" s="9">
        <f>History_Data!B14+History_Data!C14+History_Data!D14+History_Data!E14+History_Data!F14</f>
        <v/>
      </c>
      <c r="E14" s="9">
        <f>History_Data!G14+History_Data!H14+History_Data!I14+History_Data!J14+History_Data!K14</f>
        <v/>
      </c>
      <c r="F14" s="9">
        <f>History_Data!L14</f>
        <v/>
      </c>
      <c r="G14" s="9">
        <f>History_Data!M14</f>
        <v/>
      </c>
      <c r="H14" s="9">
        <f>History_Data!N14</f>
        <v/>
      </c>
      <c r="I14" s="9">
        <f>History_Data!O14</f>
        <v/>
      </c>
      <c r="J14" s="9">
        <f>History_Data!P14</f>
        <v/>
      </c>
    </row>
    <row r="15">
      <c r="A15" s="11">
        <f>History_Data!A15</f>
        <v/>
      </c>
      <c r="B15" s="9">
        <f>History_Data!L15+History_Data!M15+History_Data!N15+History_Data!O15+History_Data!P15</f>
        <v/>
      </c>
      <c r="C15" s="9">
        <f>History_Data!AA15+History_Data!AB15+History_Data!AC15+History_Data!AD15+History_Data!AE15</f>
        <v/>
      </c>
      <c r="D15" s="9">
        <f>History_Data!B15+History_Data!C15+History_Data!D15+History_Data!E15+History_Data!F15</f>
        <v/>
      </c>
      <c r="E15" s="9">
        <f>History_Data!G15+History_Data!H15+History_Data!I15+History_Data!J15+History_Data!K15</f>
        <v/>
      </c>
      <c r="F15" s="9">
        <f>History_Data!L15</f>
        <v/>
      </c>
      <c r="G15" s="9">
        <f>History_Data!M15</f>
        <v/>
      </c>
      <c r="H15" s="9">
        <f>History_Data!N15</f>
        <v/>
      </c>
      <c r="I15" s="9">
        <f>History_Data!O15</f>
        <v/>
      </c>
      <c r="J15" s="9">
        <f>History_Data!P15</f>
        <v/>
      </c>
    </row>
    <row r="16">
      <c r="A16" s="11">
        <f>History_Data!A16</f>
        <v/>
      </c>
      <c r="B16" s="9">
        <f>History_Data!L16+History_Data!M16+History_Data!N16+History_Data!O16+History_Data!P16</f>
        <v/>
      </c>
      <c r="C16" s="9">
        <f>History_Data!AA16+History_Data!AB16+History_Data!AC16+History_Data!AD16+History_Data!AE16</f>
        <v/>
      </c>
      <c r="D16" s="9">
        <f>History_Data!B16+History_Data!C16+History_Data!D16+History_Data!E16+History_Data!F16</f>
        <v/>
      </c>
      <c r="E16" s="9">
        <f>History_Data!G16+History_Data!H16+History_Data!I16+History_Data!J16+History_Data!K16</f>
        <v/>
      </c>
      <c r="F16" s="9">
        <f>History_Data!L16</f>
        <v/>
      </c>
      <c r="G16" s="9">
        <f>History_Data!M16</f>
        <v/>
      </c>
      <c r="H16" s="9">
        <f>History_Data!N16</f>
        <v/>
      </c>
      <c r="I16" s="9">
        <f>History_Data!O16</f>
        <v/>
      </c>
      <c r="J16" s="9">
        <f>History_Data!P16</f>
        <v/>
      </c>
    </row>
    <row r="17">
      <c r="A17" s="11">
        <f>History_Data!A17</f>
        <v/>
      </c>
      <c r="B17" s="9">
        <f>History_Data!L17+History_Data!M17+History_Data!N17+History_Data!O17+History_Data!P17</f>
        <v/>
      </c>
      <c r="C17" s="9">
        <f>History_Data!AA17+History_Data!AB17+History_Data!AC17+History_Data!AD17+History_Data!AE17</f>
        <v/>
      </c>
      <c r="D17" s="9">
        <f>History_Data!B17+History_Data!C17+History_Data!D17+History_Data!E17+History_Data!F17</f>
        <v/>
      </c>
      <c r="E17" s="9">
        <f>History_Data!G17+History_Data!H17+History_Data!I17+History_Data!J17+History_Data!K17</f>
        <v/>
      </c>
      <c r="F17" s="9">
        <f>History_Data!L17</f>
        <v/>
      </c>
      <c r="G17" s="9">
        <f>History_Data!M17</f>
        <v/>
      </c>
      <c r="H17" s="9">
        <f>History_Data!N17</f>
        <v/>
      </c>
      <c r="I17" s="9">
        <f>History_Data!O17</f>
        <v/>
      </c>
      <c r="J17" s="9">
        <f>History_Data!P17</f>
        <v/>
      </c>
    </row>
    <row r="18">
      <c r="A18" s="11">
        <f>History_Data!A18</f>
        <v/>
      </c>
      <c r="B18" s="9">
        <f>History_Data!L18+History_Data!M18+History_Data!N18+History_Data!O18+History_Data!P18</f>
        <v/>
      </c>
      <c r="C18" s="9">
        <f>History_Data!AA18+History_Data!AB18+History_Data!AC18+History_Data!AD18+History_Data!AE18</f>
        <v/>
      </c>
      <c r="D18" s="9">
        <f>History_Data!B18+History_Data!C18+History_Data!D18+History_Data!E18+History_Data!F18</f>
        <v/>
      </c>
      <c r="E18" s="9">
        <f>History_Data!G18+History_Data!H18+History_Data!I18+History_Data!J18+History_Data!K18</f>
        <v/>
      </c>
      <c r="F18" s="9">
        <f>History_Data!L18</f>
        <v/>
      </c>
      <c r="G18" s="9">
        <f>History_Data!M18</f>
        <v/>
      </c>
      <c r="H18" s="9">
        <f>History_Data!N18</f>
        <v/>
      </c>
      <c r="I18" s="9">
        <f>History_Data!O18</f>
        <v/>
      </c>
      <c r="J18" s="9">
        <f>History_Data!P18</f>
        <v/>
      </c>
    </row>
    <row r="19">
      <c r="A19" s="11">
        <f>History_Data!A19</f>
        <v/>
      </c>
      <c r="B19" s="9">
        <f>History_Data!L19+History_Data!M19+History_Data!N19+History_Data!O19+History_Data!P19</f>
        <v/>
      </c>
      <c r="C19" s="9">
        <f>History_Data!AA19+History_Data!AB19+History_Data!AC19+History_Data!AD19+History_Data!AE19</f>
        <v/>
      </c>
      <c r="D19" s="9">
        <f>History_Data!B19+History_Data!C19+History_Data!D19+History_Data!E19+History_Data!F19</f>
        <v/>
      </c>
      <c r="E19" s="9">
        <f>History_Data!G19+History_Data!H19+History_Data!I19+History_Data!J19+History_Data!K19</f>
        <v/>
      </c>
      <c r="F19" s="9">
        <f>History_Data!L19</f>
        <v/>
      </c>
      <c r="G19" s="9">
        <f>History_Data!M19</f>
        <v/>
      </c>
      <c r="H19" s="9">
        <f>History_Data!N19</f>
        <v/>
      </c>
      <c r="I19" s="9">
        <f>History_Data!O19</f>
        <v/>
      </c>
      <c r="J19" s="9">
        <f>History_Data!P19</f>
        <v/>
      </c>
    </row>
    <row r="20">
      <c r="A20" s="11">
        <f>History_Data!A20</f>
        <v/>
      </c>
      <c r="B20" s="9">
        <f>History_Data!L20+History_Data!M20+History_Data!N20+History_Data!O20+History_Data!P20</f>
        <v/>
      </c>
      <c r="C20" s="9">
        <f>History_Data!AA20+History_Data!AB20+History_Data!AC20+History_Data!AD20+History_Data!AE20</f>
        <v/>
      </c>
      <c r="D20" s="9">
        <f>History_Data!B20+History_Data!C20+History_Data!D20+History_Data!E20+History_Data!F20</f>
        <v/>
      </c>
      <c r="E20" s="9">
        <f>History_Data!G20+History_Data!H20+History_Data!I20+History_Data!J20+History_Data!K20</f>
        <v/>
      </c>
      <c r="F20" s="9">
        <f>History_Data!L20</f>
        <v/>
      </c>
      <c r="G20" s="9">
        <f>History_Data!M20</f>
        <v/>
      </c>
      <c r="H20" s="9">
        <f>History_Data!N20</f>
        <v/>
      </c>
      <c r="I20" s="9">
        <f>History_Data!O20</f>
        <v/>
      </c>
      <c r="J20" s="9">
        <f>History_Data!P20</f>
        <v/>
      </c>
    </row>
    <row r="21">
      <c r="A21" s="11">
        <f>History_Data!A21</f>
        <v/>
      </c>
      <c r="B21" s="9">
        <f>History_Data!L21+History_Data!M21+History_Data!N21+History_Data!O21+History_Data!P21</f>
        <v/>
      </c>
      <c r="C21" s="9">
        <f>History_Data!AA21+History_Data!AB21+History_Data!AC21+History_Data!AD21+History_Data!AE21</f>
        <v/>
      </c>
      <c r="D21" s="9">
        <f>History_Data!B21+History_Data!C21+History_Data!D21+History_Data!E21+History_Data!F21</f>
        <v/>
      </c>
      <c r="E21" s="9">
        <f>History_Data!G21+History_Data!H21+History_Data!I21+History_Data!J21+History_Data!K21</f>
        <v/>
      </c>
      <c r="F21" s="9">
        <f>History_Data!L21</f>
        <v/>
      </c>
      <c r="G21" s="9">
        <f>History_Data!M21</f>
        <v/>
      </c>
      <c r="H21" s="9">
        <f>History_Data!N21</f>
        <v/>
      </c>
      <c r="I21" s="9">
        <f>History_Data!O21</f>
        <v/>
      </c>
      <c r="J21" s="9">
        <f>History_Data!P21</f>
        <v/>
      </c>
    </row>
    <row r="22">
      <c r="A22" s="11">
        <f>History_Data!A22</f>
        <v/>
      </c>
      <c r="B22" s="9">
        <f>History_Data!L22+History_Data!M22+History_Data!N22+History_Data!O22+History_Data!P22</f>
        <v/>
      </c>
      <c r="C22" s="9">
        <f>History_Data!AA22+History_Data!AB22+History_Data!AC22+History_Data!AD22+History_Data!AE22</f>
        <v/>
      </c>
      <c r="D22" s="9">
        <f>History_Data!B22+History_Data!C22+History_Data!D22+History_Data!E22+History_Data!F22</f>
        <v/>
      </c>
      <c r="E22" s="9">
        <f>History_Data!G22+History_Data!H22+History_Data!I22+History_Data!J22+History_Data!K22</f>
        <v/>
      </c>
      <c r="F22" s="9">
        <f>History_Data!L22</f>
        <v/>
      </c>
      <c r="G22" s="9">
        <f>History_Data!M22</f>
        <v/>
      </c>
      <c r="H22" s="9">
        <f>History_Data!N22</f>
        <v/>
      </c>
      <c r="I22" s="9">
        <f>History_Data!O22</f>
        <v/>
      </c>
      <c r="J22" s="9">
        <f>History_Data!P22</f>
        <v/>
      </c>
    </row>
    <row r="23">
      <c r="A23" s="11">
        <f>History_Data!A23</f>
        <v/>
      </c>
      <c r="B23" s="9">
        <f>History_Data!L23+History_Data!M23+History_Data!N23+History_Data!O23+History_Data!P23</f>
        <v/>
      </c>
      <c r="C23" s="9">
        <f>History_Data!AA23+History_Data!AB23+History_Data!AC23+History_Data!AD23+History_Data!AE23</f>
        <v/>
      </c>
      <c r="D23" s="9">
        <f>History_Data!B23+History_Data!C23+History_Data!D23+History_Data!E23+History_Data!F23</f>
        <v/>
      </c>
      <c r="E23" s="9">
        <f>History_Data!G23+History_Data!H23+History_Data!I23+History_Data!J23+History_Data!K23</f>
        <v/>
      </c>
      <c r="F23" s="9">
        <f>History_Data!L23</f>
        <v/>
      </c>
      <c r="G23" s="9">
        <f>History_Data!M23</f>
        <v/>
      </c>
      <c r="H23" s="9">
        <f>History_Data!N23</f>
        <v/>
      </c>
      <c r="I23" s="9">
        <f>History_Data!O23</f>
        <v/>
      </c>
      <c r="J23" s="9">
        <f>History_Data!P23</f>
        <v/>
      </c>
    </row>
    <row r="24">
      <c r="A24" s="11">
        <f>History_Data!A24</f>
        <v/>
      </c>
      <c r="B24" s="9">
        <f>History_Data!L24+History_Data!M24+History_Data!N24+History_Data!O24+History_Data!P24</f>
        <v/>
      </c>
      <c r="C24" s="9">
        <f>History_Data!AA24+History_Data!AB24+History_Data!AC24+History_Data!AD24+History_Data!AE24</f>
        <v/>
      </c>
      <c r="D24" s="9">
        <f>History_Data!B24+History_Data!C24+History_Data!D24+History_Data!E24+History_Data!F24</f>
        <v/>
      </c>
      <c r="E24" s="9">
        <f>History_Data!G24+History_Data!H24+History_Data!I24+History_Data!J24+History_Data!K24</f>
        <v/>
      </c>
      <c r="F24" s="9">
        <f>History_Data!L24</f>
        <v/>
      </c>
      <c r="G24" s="9">
        <f>History_Data!M24</f>
        <v/>
      </c>
      <c r="H24" s="9">
        <f>History_Data!N24</f>
        <v/>
      </c>
      <c r="I24" s="9">
        <f>History_Data!O24</f>
        <v/>
      </c>
      <c r="J24" s="9">
        <f>History_Data!P24</f>
        <v/>
      </c>
    </row>
    <row r="25">
      <c r="A25" s="11">
        <f>History_Data!A25</f>
        <v/>
      </c>
      <c r="B25" s="9">
        <f>History_Data!L25+History_Data!M25+History_Data!N25+History_Data!O25+History_Data!P25</f>
        <v/>
      </c>
      <c r="C25" s="9">
        <f>History_Data!AA25+History_Data!AB25+History_Data!AC25+History_Data!AD25+History_Data!AE25</f>
        <v/>
      </c>
      <c r="D25" s="9">
        <f>History_Data!B25+History_Data!C25+History_Data!D25+History_Data!E25+History_Data!F25</f>
        <v/>
      </c>
      <c r="E25" s="9">
        <f>History_Data!G25+History_Data!H25+History_Data!I25+History_Data!J25+History_Data!K25</f>
        <v/>
      </c>
      <c r="F25" s="9">
        <f>History_Data!L25</f>
        <v/>
      </c>
      <c r="G25" s="9">
        <f>History_Data!M25</f>
        <v/>
      </c>
      <c r="H25" s="9">
        <f>History_Data!N25</f>
        <v/>
      </c>
      <c r="I25" s="9">
        <f>History_Data!O25</f>
        <v/>
      </c>
      <c r="J25" s="9">
        <f>History_Data!P25</f>
        <v/>
      </c>
    </row>
    <row r="26">
      <c r="A26" s="11">
        <f>History_Data!A26</f>
        <v/>
      </c>
      <c r="B26" s="9">
        <f>History_Data!L26+History_Data!M26+History_Data!N26+History_Data!O26+History_Data!P26</f>
        <v/>
      </c>
      <c r="C26" s="9">
        <f>History_Data!AA26+History_Data!AB26+History_Data!AC26+History_Data!AD26+History_Data!AE26</f>
        <v/>
      </c>
      <c r="D26" s="9">
        <f>History_Data!B26+History_Data!C26+History_Data!D26+History_Data!E26+History_Data!F26</f>
        <v/>
      </c>
      <c r="E26" s="9">
        <f>History_Data!G26+History_Data!H26+History_Data!I26+History_Data!J26+History_Data!K26</f>
        <v/>
      </c>
      <c r="F26" s="9">
        <f>History_Data!L26</f>
        <v/>
      </c>
      <c r="G26" s="9">
        <f>History_Data!M26</f>
        <v/>
      </c>
      <c r="H26" s="9">
        <f>History_Data!N26</f>
        <v/>
      </c>
      <c r="I26" s="9">
        <f>History_Data!O26</f>
        <v/>
      </c>
      <c r="J26" s="9">
        <f>History_Data!P26</f>
        <v/>
      </c>
    </row>
    <row r="27">
      <c r="A27" s="11">
        <f>History_Data!A27</f>
        <v/>
      </c>
      <c r="B27" s="9">
        <f>History_Data!L27+History_Data!M27+History_Data!N27+History_Data!O27+History_Data!P27</f>
        <v/>
      </c>
      <c r="C27" s="9">
        <f>History_Data!AA27+History_Data!AB27+History_Data!AC27+History_Data!AD27+History_Data!AE27</f>
        <v/>
      </c>
      <c r="D27" s="9">
        <f>History_Data!B27+History_Data!C27+History_Data!D27+History_Data!E27+History_Data!F27</f>
        <v/>
      </c>
      <c r="E27" s="9">
        <f>History_Data!G27+History_Data!H27+History_Data!I27+History_Data!J27+History_Data!K27</f>
        <v/>
      </c>
      <c r="F27" s="9">
        <f>History_Data!L27</f>
        <v/>
      </c>
      <c r="G27" s="9">
        <f>History_Data!M27</f>
        <v/>
      </c>
      <c r="H27" s="9">
        <f>History_Data!N27</f>
        <v/>
      </c>
      <c r="I27" s="9">
        <f>History_Data!O27</f>
        <v/>
      </c>
      <c r="J27" s="9">
        <f>History_Data!P27</f>
        <v/>
      </c>
    </row>
    <row r="28">
      <c r="A28" s="11">
        <f>History_Data!A28</f>
        <v/>
      </c>
      <c r="B28" s="9">
        <f>History_Data!L28+History_Data!M28+History_Data!N28+History_Data!O28+History_Data!P28</f>
        <v/>
      </c>
      <c r="C28" s="9">
        <f>History_Data!AA28+History_Data!AB28+History_Data!AC28+History_Data!AD28+History_Data!AE28</f>
        <v/>
      </c>
      <c r="D28" s="9">
        <f>History_Data!B28+History_Data!C28+History_Data!D28+History_Data!E28+History_Data!F28</f>
        <v/>
      </c>
      <c r="E28" s="9">
        <f>History_Data!G28+History_Data!H28+History_Data!I28+History_Data!J28+History_Data!K28</f>
        <v/>
      </c>
      <c r="F28" s="9">
        <f>History_Data!L28</f>
        <v/>
      </c>
      <c r="G28" s="9">
        <f>History_Data!M28</f>
        <v/>
      </c>
      <c r="H28" s="9">
        <f>History_Data!N28</f>
        <v/>
      </c>
      <c r="I28" s="9">
        <f>History_Data!O28</f>
        <v/>
      </c>
      <c r="J28" s="9">
        <f>History_Data!P28</f>
        <v/>
      </c>
    </row>
    <row r="29">
      <c r="A29" s="11">
        <f>History_Data!A29</f>
        <v/>
      </c>
      <c r="B29" s="9">
        <f>History_Data!L29+History_Data!M29+History_Data!N29+History_Data!O29+History_Data!P29</f>
        <v/>
      </c>
      <c r="C29" s="9">
        <f>History_Data!AA29+History_Data!AB29+History_Data!AC29+History_Data!AD29+History_Data!AE29</f>
        <v/>
      </c>
      <c r="D29" s="9">
        <f>History_Data!B29+History_Data!C29+History_Data!D29+History_Data!E29+History_Data!F29</f>
        <v/>
      </c>
      <c r="E29" s="9">
        <f>History_Data!G29+History_Data!H29+History_Data!I29+History_Data!J29+History_Data!K29</f>
        <v/>
      </c>
      <c r="F29" s="9">
        <f>History_Data!L29</f>
        <v/>
      </c>
      <c r="G29" s="9">
        <f>History_Data!M29</f>
        <v/>
      </c>
      <c r="H29" s="9">
        <f>History_Data!N29</f>
        <v/>
      </c>
      <c r="I29" s="9">
        <f>History_Data!O29</f>
        <v/>
      </c>
      <c r="J29" s="9">
        <f>History_Data!P29</f>
        <v/>
      </c>
    </row>
    <row r="30">
      <c r="A30" s="11">
        <f>History_Data!A30</f>
        <v/>
      </c>
      <c r="B30" s="9">
        <f>History_Data!L30+History_Data!M30+History_Data!N30+History_Data!O30+History_Data!P30</f>
        <v/>
      </c>
      <c r="C30" s="9">
        <f>History_Data!AA30+History_Data!AB30+History_Data!AC30+History_Data!AD30+History_Data!AE30</f>
        <v/>
      </c>
      <c r="D30" s="9">
        <f>History_Data!B30+History_Data!C30+History_Data!D30+History_Data!E30+History_Data!F30</f>
        <v/>
      </c>
      <c r="E30" s="9">
        <f>History_Data!G30+History_Data!H30+History_Data!I30+History_Data!J30+History_Data!K30</f>
        <v/>
      </c>
      <c r="F30" s="9">
        <f>History_Data!L30</f>
        <v/>
      </c>
      <c r="G30" s="9">
        <f>History_Data!M30</f>
        <v/>
      </c>
      <c r="H30" s="9">
        <f>History_Data!N30</f>
        <v/>
      </c>
      <c r="I30" s="9">
        <f>History_Data!O30</f>
        <v/>
      </c>
      <c r="J30" s="9">
        <f>History_Data!P30</f>
        <v/>
      </c>
    </row>
    <row r="31">
      <c r="A31" s="11">
        <f>History_Data!A31</f>
        <v/>
      </c>
      <c r="B31" s="9">
        <f>History_Data!L31+History_Data!M31+History_Data!N31+History_Data!O31+History_Data!P31</f>
        <v/>
      </c>
      <c r="C31" s="9">
        <f>History_Data!AA31+History_Data!AB31+History_Data!AC31+History_Data!AD31+History_Data!AE31</f>
        <v/>
      </c>
      <c r="D31" s="9">
        <f>History_Data!B31+History_Data!C31+History_Data!D31+History_Data!E31+History_Data!F31</f>
        <v/>
      </c>
      <c r="E31" s="9">
        <f>History_Data!G31+History_Data!H31+History_Data!I31+History_Data!J31+History_Data!K31</f>
        <v/>
      </c>
      <c r="F31" s="9">
        <f>History_Data!L31</f>
        <v/>
      </c>
      <c r="G31" s="9">
        <f>History_Data!M31</f>
        <v/>
      </c>
      <c r="H31" s="9">
        <f>History_Data!N31</f>
        <v/>
      </c>
      <c r="I31" s="9">
        <f>History_Data!O31</f>
        <v/>
      </c>
      <c r="J31" s="9">
        <f>History_Data!P31</f>
        <v/>
      </c>
    </row>
    <row r="32">
      <c r="A32" s="11">
        <f>History_Data!A32</f>
        <v/>
      </c>
      <c r="B32" s="9">
        <f>History_Data!L32+History_Data!M32+History_Data!N32+History_Data!O32+History_Data!P32</f>
        <v/>
      </c>
      <c r="C32" s="9">
        <f>History_Data!AA32+History_Data!AB32+History_Data!AC32+History_Data!AD32+History_Data!AE32</f>
        <v/>
      </c>
      <c r="D32" s="9">
        <f>History_Data!B32+History_Data!C32+History_Data!D32+History_Data!E32+History_Data!F32</f>
        <v/>
      </c>
      <c r="E32" s="9">
        <f>History_Data!G32+History_Data!H32+History_Data!I32+History_Data!J32+History_Data!K32</f>
        <v/>
      </c>
      <c r="F32" s="9">
        <f>History_Data!L32</f>
        <v/>
      </c>
      <c r="G32" s="9">
        <f>History_Data!M32</f>
        <v/>
      </c>
      <c r="H32" s="9">
        <f>History_Data!N32</f>
        <v/>
      </c>
      <c r="I32" s="9">
        <f>History_Data!O32</f>
        <v/>
      </c>
      <c r="J32" s="9">
        <f>History_Data!P32</f>
        <v/>
      </c>
    </row>
    <row r="33">
      <c r="A33" s="11">
        <f>History_Data!A33</f>
        <v/>
      </c>
      <c r="B33" s="9">
        <f>History_Data!L33+History_Data!M33+History_Data!N33+History_Data!O33+History_Data!P33</f>
        <v/>
      </c>
      <c r="C33" s="9">
        <f>History_Data!AA33+History_Data!AB33+History_Data!AC33+History_Data!AD33+History_Data!AE33</f>
        <v/>
      </c>
      <c r="D33" s="9">
        <f>History_Data!B33+History_Data!C33+History_Data!D33+History_Data!E33+History_Data!F33</f>
        <v/>
      </c>
      <c r="E33" s="9">
        <f>History_Data!G33+History_Data!H33+History_Data!I33+History_Data!J33+History_Data!K33</f>
        <v/>
      </c>
      <c r="F33" s="9">
        <f>History_Data!L33</f>
        <v/>
      </c>
      <c r="G33" s="9">
        <f>History_Data!M33</f>
        <v/>
      </c>
      <c r="H33" s="9">
        <f>History_Data!N33</f>
        <v/>
      </c>
      <c r="I33" s="9">
        <f>History_Data!O33</f>
        <v/>
      </c>
      <c r="J33" s="9">
        <f>History_Data!P33</f>
        <v/>
      </c>
    </row>
    <row r="34">
      <c r="A34" s="11">
        <f>History_Data!A34</f>
        <v/>
      </c>
      <c r="B34" s="9">
        <f>History_Data!L34+History_Data!M34+History_Data!N34+History_Data!O34+History_Data!P34</f>
        <v/>
      </c>
      <c r="C34" s="9">
        <f>History_Data!AA34+History_Data!AB34+History_Data!AC34+History_Data!AD34+History_Data!AE34</f>
        <v/>
      </c>
      <c r="D34" s="9">
        <f>History_Data!B34+History_Data!C34+History_Data!D34+History_Data!E34+History_Data!F34</f>
        <v/>
      </c>
      <c r="E34" s="9">
        <f>History_Data!G34+History_Data!H34+History_Data!I34+History_Data!J34+History_Data!K34</f>
        <v/>
      </c>
      <c r="F34" s="9">
        <f>History_Data!L34</f>
        <v/>
      </c>
      <c r="G34" s="9">
        <f>History_Data!M34</f>
        <v/>
      </c>
      <c r="H34" s="9">
        <f>History_Data!N34</f>
        <v/>
      </c>
      <c r="I34" s="9">
        <f>History_Data!O34</f>
        <v/>
      </c>
      <c r="J34" s="9">
        <f>History_Data!P34</f>
        <v/>
      </c>
    </row>
    <row r="35">
      <c r="A35" s="11">
        <f>History_Data!A35</f>
        <v/>
      </c>
      <c r="B35" s="9">
        <f>History_Data!L35+History_Data!M35+History_Data!N35+History_Data!O35+History_Data!P35</f>
        <v/>
      </c>
      <c r="C35" s="9">
        <f>History_Data!AA35+History_Data!AB35+History_Data!AC35+History_Data!AD35+History_Data!AE35</f>
        <v/>
      </c>
      <c r="D35" s="9">
        <f>History_Data!B35+History_Data!C35+History_Data!D35+History_Data!E35+History_Data!F35</f>
        <v/>
      </c>
      <c r="E35" s="9">
        <f>History_Data!G35+History_Data!H35+History_Data!I35+History_Data!J35+History_Data!K35</f>
        <v/>
      </c>
      <c r="F35" s="9">
        <f>History_Data!L35</f>
        <v/>
      </c>
      <c r="G35" s="9">
        <f>History_Data!M35</f>
        <v/>
      </c>
      <c r="H35" s="9">
        <f>History_Data!N35</f>
        <v/>
      </c>
      <c r="I35" s="9">
        <f>History_Data!O35</f>
        <v/>
      </c>
      <c r="J35" s="9">
        <f>History_Data!P35</f>
        <v/>
      </c>
    </row>
    <row r="36">
      <c r="A36" s="11">
        <f>History_Data!A36</f>
        <v/>
      </c>
      <c r="B36" s="9">
        <f>History_Data!L36+History_Data!M36+History_Data!N36+History_Data!O36+History_Data!P36</f>
        <v/>
      </c>
      <c r="C36" s="9">
        <f>History_Data!AA36+History_Data!AB36+History_Data!AC36+History_Data!AD36+History_Data!AE36</f>
        <v/>
      </c>
      <c r="D36" s="9">
        <f>History_Data!B36+History_Data!C36+History_Data!D36+History_Data!E36+History_Data!F36</f>
        <v/>
      </c>
      <c r="E36" s="9">
        <f>History_Data!G36+History_Data!H36+History_Data!I36+History_Data!J36+History_Data!K36</f>
        <v/>
      </c>
      <c r="F36" s="9">
        <f>History_Data!L36</f>
        <v/>
      </c>
      <c r="G36" s="9">
        <f>History_Data!M36</f>
        <v/>
      </c>
      <c r="H36" s="9">
        <f>History_Data!N36</f>
        <v/>
      </c>
      <c r="I36" s="9">
        <f>History_Data!O36</f>
        <v/>
      </c>
      <c r="J36" s="9">
        <f>History_Data!P36</f>
        <v/>
      </c>
    </row>
    <row r="37">
      <c r="A37" s="11">
        <f>History_Data!A37</f>
        <v/>
      </c>
      <c r="B37" s="9">
        <f>History_Data!L37+History_Data!M37+History_Data!N37+History_Data!O37+History_Data!P37</f>
        <v/>
      </c>
      <c r="C37" s="9">
        <f>History_Data!AA37+History_Data!AB37+History_Data!AC37+History_Data!AD37+History_Data!AE37</f>
        <v/>
      </c>
      <c r="D37" s="9">
        <f>History_Data!B37+History_Data!C37+History_Data!D37+History_Data!E37+History_Data!F37</f>
        <v/>
      </c>
      <c r="E37" s="9">
        <f>History_Data!G37+History_Data!H37+History_Data!I37+History_Data!J37+History_Data!K37</f>
        <v/>
      </c>
      <c r="F37" s="9">
        <f>History_Data!L37</f>
        <v/>
      </c>
      <c r="G37" s="9">
        <f>History_Data!M37</f>
        <v/>
      </c>
      <c r="H37" s="9">
        <f>History_Data!N37</f>
        <v/>
      </c>
      <c r="I37" s="9">
        <f>History_Data!O37</f>
        <v/>
      </c>
      <c r="J37" s="9">
        <f>History_Data!P37</f>
        <v/>
      </c>
    </row>
    <row r="38">
      <c r="A38" s="11">
        <f>History_Data!A38</f>
        <v/>
      </c>
      <c r="B38" s="9">
        <f>History_Data!L38+History_Data!M38+History_Data!N38+History_Data!O38+History_Data!P38</f>
        <v/>
      </c>
      <c r="C38" s="9">
        <f>History_Data!AA38+History_Data!AB38+History_Data!AC38+History_Data!AD38+History_Data!AE38</f>
        <v/>
      </c>
      <c r="D38" s="9">
        <f>History_Data!B38+History_Data!C38+History_Data!D38+History_Data!E38+History_Data!F38</f>
        <v/>
      </c>
      <c r="E38" s="9">
        <f>History_Data!G38+History_Data!H38+History_Data!I38+History_Data!J38+History_Data!K38</f>
        <v/>
      </c>
      <c r="F38" s="9">
        <f>History_Data!L38</f>
        <v/>
      </c>
      <c r="G38" s="9">
        <f>History_Data!M38</f>
        <v/>
      </c>
      <c r="H38" s="9">
        <f>History_Data!N38</f>
        <v/>
      </c>
      <c r="I38" s="9">
        <f>History_Data!O38</f>
        <v/>
      </c>
      <c r="J38" s="9">
        <f>History_Data!P38</f>
        <v/>
      </c>
    </row>
    <row r="39">
      <c r="A39" s="11">
        <f>History_Data!A39</f>
        <v/>
      </c>
      <c r="B39" s="9">
        <f>History_Data!L39+History_Data!M39+History_Data!N39+History_Data!O39+History_Data!P39</f>
        <v/>
      </c>
      <c r="C39" s="9">
        <f>History_Data!AA39+History_Data!AB39+History_Data!AC39+History_Data!AD39+History_Data!AE39</f>
        <v/>
      </c>
      <c r="D39" s="9">
        <f>History_Data!B39+History_Data!C39+History_Data!D39+History_Data!E39+History_Data!F39</f>
        <v/>
      </c>
      <c r="E39" s="9">
        <f>History_Data!G39+History_Data!H39+History_Data!I39+History_Data!J39+History_Data!K39</f>
        <v/>
      </c>
      <c r="F39" s="9">
        <f>History_Data!L39</f>
        <v/>
      </c>
      <c r="G39" s="9">
        <f>History_Data!M39</f>
        <v/>
      </c>
      <c r="H39" s="9">
        <f>History_Data!N39</f>
        <v/>
      </c>
      <c r="I39" s="9">
        <f>History_Data!O39</f>
        <v/>
      </c>
      <c r="J39" s="9">
        <f>History_Data!P39</f>
        <v/>
      </c>
    </row>
    <row r="40">
      <c r="A40" s="11">
        <f>History_Data!A40</f>
        <v/>
      </c>
      <c r="B40" s="9">
        <f>History_Data!L40+History_Data!M40+History_Data!N40+History_Data!O40+History_Data!P40</f>
        <v/>
      </c>
      <c r="C40" s="9">
        <f>History_Data!AA40+History_Data!AB40+History_Data!AC40+History_Data!AD40+History_Data!AE40</f>
        <v/>
      </c>
      <c r="D40" s="9">
        <f>History_Data!B40+History_Data!C40+History_Data!D40+History_Data!E40+History_Data!F40</f>
        <v/>
      </c>
      <c r="E40" s="9">
        <f>History_Data!G40+History_Data!H40+History_Data!I40+History_Data!J40+History_Data!K40</f>
        <v/>
      </c>
      <c r="F40" s="9">
        <f>History_Data!L40</f>
        <v/>
      </c>
      <c r="G40" s="9">
        <f>History_Data!M40</f>
        <v/>
      </c>
      <c r="H40" s="9">
        <f>History_Data!N40</f>
        <v/>
      </c>
      <c r="I40" s="9">
        <f>History_Data!O40</f>
        <v/>
      </c>
      <c r="J40" s="9">
        <f>History_Data!P40</f>
        <v/>
      </c>
    </row>
    <row r="41">
      <c r="A41" s="11">
        <f>History_Data!A41</f>
        <v/>
      </c>
      <c r="B41" s="9">
        <f>History_Data!L41+History_Data!M41+History_Data!N41+History_Data!O41+History_Data!P41</f>
        <v/>
      </c>
      <c r="C41" s="9">
        <f>History_Data!AA41+History_Data!AB41+History_Data!AC41+History_Data!AD41+History_Data!AE41</f>
        <v/>
      </c>
      <c r="D41" s="9">
        <f>History_Data!B41+History_Data!C41+History_Data!D41+History_Data!E41+History_Data!F41</f>
        <v/>
      </c>
      <c r="E41" s="9">
        <f>History_Data!G41+History_Data!H41+History_Data!I41+History_Data!J41+History_Data!K41</f>
        <v/>
      </c>
      <c r="F41" s="9">
        <f>History_Data!L41</f>
        <v/>
      </c>
      <c r="G41" s="9">
        <f>History_Data!M41</f>
        <v/>
      </c>
      <c r="H41" s="9">
        <f>History_Data!N41</f>
        <v/>
      </c>
      <c r="I41" s="9">
        <f>History_Data!O41</f>
        <v/>
      </c>
      <c r="J41" s="9">
        <f>History_Data!P41</f>
        <v/>
      </c>
    </row>
    <row r="42">
      <c r="A42" s="11">
        <f>History_Data!A42</f>
        <v/>
      </c>
      <c r="B42" s="9">
        <f>History_Data!L42+History_Data!M42+History_Data!N42+History_Data!O42+History_Data!P42</f>
        <v/>
      </c>
      <c r="C42" s="9">
        <f>History_Data!AA42+History_Data!AB42+History_Data!AC42+History_Data!AD42+History_Data!AE42</f>
        <v/>
      </c>
      <c r="D42" s="9">
        <f>History_Data!B42+History_Data!C42+History_Data!D42+History_Data!E42+History_Data!F42</f>
        <v/>
      </c>
      <c r="E42" s="9">
        <f>History_Data!G42+History_Data!H42+History_Data!I42+History_Data!J42+History_Data!K42</f>
        <v/>
      </c>
      <c r="F42" s="9">
        <f>History_Data!L42</f>
        <v/>
      </c>
      <c r="G42" s="9">
        <f>History_Data!M42</f>
        <v/>
      </c>
      <c r="H42" s="9">
        <f>History_Data!N42</f>
        <v/>
      </c>
      <c r="I42" s="9">
        <f>History_Data!O42</f>
        <v/>
      </c>
      <c r="J42" s="9">
        <f>History_Data!P42</f>
        <v/>
      </c>
    </row>
    <row r="43">
      <c r="A43" s="11">
        <f>History_Data!A43</f>
        <v/>
      </c>
      <c r="B43" s="9">
        <f>History_Data!L43+History_Data!M43+History_Data!N43+History_Data!O43+History_Data!P43</f>
        <v/>
      </c>
      <c r="C43" s="9">
        <f>History_Data!AA43+History_Data!AB43+History_Data!AC43+History_Data!AD43+History_Data!AE43</f>
        <v/>
      </c>
      <c r="D43" s="9">
        <f>History_Data!B43+History_Data!C43+History_Data!D43+History_Data!E43+History_Data!F43</f>
        <v/>
      </c>
      <c r="E43" s="9">
        <f>History_Data!G43+History_Data!H43+History_Data!I43+History_Data!J43+History_Data!K43</f>
        <v/>
      </c>
      <c r="F43" s="9">
        <f>History_Data!L43</f>
        <v/>
      </c>
      <c r="G43" s="9">
        <f>History_Data!M43</f>
        <v/>
      </c>
      <c r="H43" s="9">
        <f>History_Data!N43</f>
        <v/>
      </c>
      <c r="I43" s="9">
        <f>History_Data!O43</f>
        <v/>
      </c>
      <c r="J43" s="9">
        <f>History_Data!P43</f>
        <v/>
      </c>
    </row>
    <row r="44">
      <c r="A44" s="11">
        <f>History_Data!A44</f>
        <v/>
      </c>
      <c r="B44" s="9">
        <f>History_Data!L44+History_Data!M44+History_Data!N44+History_Data!O44+History_Data!P44</f>
        <v/>
      </c>
      <c r="C44" s="9">
        <f>History_Data!AA44+History_Data!AB44+History_Data!AC44+History_Data!AD44+History_Data!AE44</f>
        <v/>
      </c>
      <c r="D44" s="9">
        <f>History_Data!B44+History_Data!C44+History_Data!D44+History_Data!E44+History_Data!F44</f>
        <v/>
      </c>
      <c r="E44" s="9">
        <f>History_Data!G44+History_Data!H44+History_Data!I44+History_Data!J44+History_Data!K44</f>
        <v/>
      </c>
      <c r="F44" s="9">
        <f>History_Data!L44</f>
        <v/>
      </c>
      <c r="G44" s="9">
        <f>History_Data!M44</f>
        <v/>
      </c>
      <c r="H44" s="9">
        <f>History_Data!N44</f>
        <v/>
      </c>
      <c r="I44" s="9">
        <f>History_Data!O44</f>
        <v/>
      </c>
      <c r="J44" s="9">
        <f>History_Data!P44</f>
        <v/>
      </c>
    </row>
    <row r="45">
      <c r="A45" s="11">
        <f>History_Data!A45</f>
        <v/>
      </c>
      <c r="B45" s="9">
        <f>History_Data!L45+History_Data!M45+History_Data!N45+History_Data!O45+History_Data!P45</f>
        <v/>
      </c>
      <c r="C45" s="9">
        <f>History_Data!AA45+History_Data!AB45+History_Data!AC45+History_Data!AD45+History_Data!AE45</f>
        <v/>
      </c>
      <c r="D45" s="9">
        <f>History_Data!B45+History_Data!C45+History_Data!D45+History_Data!E45+History_Data!F45</f>
        <v/>
      </c>
      <c r="E45" s="9">
        <f>History_Data!G45+History_Data!H45+History_Data!I45+History_Data!J45+History_Data!K45</f>
        <v/>
      </c>
      <c r="F45" s="9">
        <f>History_Data!L45</f>
        <v/>
      </c>
      <c r="G45" s="9">
        <f>History_Data!M45</f>
        <v/>
      </c>
      <c r="H45" s="9">
        <f>History_Data!N45</f>
        <v/>
      </c>
      <c r="I45" s="9">
        <f>History_Data!O45</f>
        <v/>
      </c>
      <c r="J45" s="9">
        <f>History_Data!P45</f>
        <v/>
      </c>
    </row>
    <row r="46">
      <c r="A46" s="11">
        <f>History_Data!A46</f>
        <v/>
      </c>
      <c r="B46" s="9">
        <f>History_Data!L46+History_Data!M46+History_Data!N46+History_Data!O46+History_Data!P46</f>
        <v/>
      </c>
      <c r="C46" s="9">
        <f>History_Data!AA46+History_Data!AB46+History_Data!AC46+History_Data!AD46+History_Data!AE46</f>
        <v/>
      </c>
      <c r="D46" s="9">
        <f>History_Data!B46+History_Data!C46+History_Data!D46+History_Data!E46+History_Data!F46</f>
        <v/>
      </c>
      <c r="E46" s="9">
        <f>History_Data!G46+History_Data!H46+History_Data!I46+History_Data!J46+History_Data!K46</f>
        <v/>
      </c>
      <c r="F46" s="9">
        <f>History_Data!L46</f>
        <v/>
      </c>
      <c r="G46" s="9">
        <f>History_Data!M46</f>
        <v/>
      </c>
      <c r="H46" s="9">
        <f>History_Data!N46</f>
        <v/>
      </c>
      <c r="I46" s="9">
        <f>History_Data!O46</f>
        <v/>
      </c>
      <c r="J46" s="9">
        <f>History_Data!P46</f>
        <v/>
      </c>
    </row>
    <row r="47">
      <c r="A47" s="11">
        <f>History_Data!A47</f>
        <v/>
      </c>
      <c r="B47" s="9">
        <f>History_Data!L47+History_Data!M47+History_Data!N47+History_Data!O47+History_Data!P47</f>
        <v/>
      </c>
      <c r="C47" s="9">
        <f>History_Data!AA47+History_Data!AB47+History_Data!AC47+History_Data!AD47+History_Data!AE47</f>
        <v/>
      </c>
      <c r="D47" s="9">
        <f>History_Data!B47+History_Data!C47+History_Data!D47+History_Data!E47+History_Data!F47</f>
        <v/>
      </c>
      <c r="E47" s="9">
        <f>History_Data!G47+History_Data!H47+History_Data!I47+History_Data!J47+History_Data!K47</f>
        <v/>
      </c>
      <c r="F47" s="9">
        <f>History_Data!L47</f>
        <v/>
      </c>
      <c r="G47" s="9">
        <f>History_Data!M47</f>
        <v/>
      </c>
      <c r="H47" s="9">
        <f>History_Data!N47</f>
        <v/>
      </c>
      <c r="I47" s="9">
        <f>History_Data!O47</f>
        <v/>
      </c>
      <c r="J47" s="9">
        <f>History_Data!P47</f>
        <v/>
      </c>
    </row>
    <row r="48">
      <c r="A48" s="11">
        <f>History_Data!A48</f>
        <v/>
      </c>
      <c r="B48" s="9">
        <f>History_Data!L48+History_Data!M48+History_Data!N48+History_Data!O48+History_Data!P48</f>
        <v/>
      </c>
      <c r="C48" s="9">
        <f>History_Data!AA48+History_Data!AB48+History_Data!AC48+History_Data!AD48+History_Data!AE48</f>
        <v/>
      </c>
      <c r="D48" s="9">
        <f>History_Data!B48+History_Data!C48+History_Data!D48+History_Data!E48+History_Data!F48</f>
        <v/>
      </c>
      <c r="E48" s="9">
        <f>History_Data!G48+History_Data!H48+History_Data!I48+History_Data!J48+History_Data!K48</f>
        <v/>
      </c>
      <c r="F48" s="9">
        <f>History_Data!L48</f>
        <v/>
      </c>
      <c r="G48" s="9">
        <f>History_Data!M48</f>
        <v/>
      </c>
      <c r="H48" s="9">
        <f>History_Data!N48</f>
        <v/>
      </c>
      <c r="I48" s="9">
        <f>History_Data!O48</f>
        <v/>
      </c>
      <c r="J48" s="9">
        <f>History_Data!P48</f>
        <v/>
      </c>
    </row>
    <row r="49">
      <c r="A49" s="11">
        <f>History_Data!A49</f>
        <v/>
      </c>
      <c r="B49" s="9">
        <f>History_Data!L49+History_Data!M49+History_Data!N49+History_Data!O49+History_Data!P49</f>
        <v/>
      </c>
      <c r="C49" s="9">
        <f>History_Data!AA49+History_Data!AB49+History_Data!AC49+History_Data!AD49+History_Data!AE49</f>
        <v/>
      </c>
      <c r="D49" s="9">
        <f>History_Data!B49+History_Data!C49+History_Data!D49+History_Data!E49+History_Data!F49</f>
        <v/>
      </c>
      <c r="E49" s="9">
        <f>History_Data!G49+History_Data!H49+History_Data!I49+History_Data!J49+History_Data!K49</f>
        <v/>
      </c>
      <c r="F49" s="9">
        <f>History_Data!L49</f>
        <v/>
      </c>
      <c r="G49" s="9">
        <f>History_Data!M49</f>
        <v/>
      </c>
      <c r="H49" s="9">
        <f>History_Data!N49</f>
        <v/>
      </c>
      <c r="I49" s="9">
        <f>History_Data!O49</f>
        <v/>
      </c>
      <c r="J49" s="9">
        <f>History_Data!P49</f>
        <v/>
      </c>
    </row>
    <row r="50">
      <c r="A50" s="11">
        <f>History_Data!A50</f>
        <v/>
      </c>
      <c r="B50" s="9">
        <f>History_Data!L50+History_Data!M50+History_Data!N50+History_Data!O50+History_Data!P50</f>
        <v/>
      </c>
      <c r="C50" s="9">
        <f>History_Data!AA50+History_Data!AB50+History_Data!AC50+History_Data!AD50+History_Data!AE50</f>
        <v/>
      </c>
      <c r="D50" s="9">
        <f>History_Data!B50+History_Data!C50+History_Data!D50+History_Data!E50+History_Data!F50</f>
        <v/>
      </c>
      <c r="E50" s="9">
        <f>History_Data!G50+History_Data!H50+History_Data!I50+History_Data!J50+History_Data!K50</f>
        <v/>
      </c>
      <c r="F50" s="9">
        <f>History_Data!L50</f>
        <v/>
      </c>
      <c r="G50" s="9">
        <f>History_Data!M50</f>
        <v/>
      </c>
      <c r="H50" s="9">
        <f>History_Data!N50</f>
        <v/>
      </c>
      <c r="I50" s="9">
        <f>History_Data!O50</f>
        <v/>
      </c>
      <c r="J50" s="9">
        <f>History_Data!P50</f>
        <v/>
      </c>
    </row>
    <row r="51">
      <c r="A51" s="11">
        <f>History_Data!A51</f>
        <v/>
      </c>
      <c r="B51" s="9">
        <f>History_Data!L51+History_Data!M51+History_Data!N51+History_Data!O51+History_Data!P51</f>
        <v/>
      </c>
      <c r="C51" s="9">
        <f>History_Data!AA51+History_Data!AB51+History_Data!AC51+History_Data!AD51+History_Data!AE51</f>
        <v/>
      </c>
      <c r="D51" s="9">
        <f>History_Data!B51+History_Data!C51+History_Data!D51+History_Data!E51+History_Data!F51</f>
        <v/>
      </c>
      <c r="E51" s="9">
        <f>History_Data!G51+History_Data!H51+History_Data!I51+History_Data!J51+History_Data!K51</f>
        <v/>
      </c>
      <c r="F51" s="9">
        <f>History_Data!L51</f>
        <v/>
      </c>
      <c r="G51" s="9">
        <f>History_Data!M51</f>
        <v/>
      </c>
      <c r="H51" s="9">
        <f>History_Data!N51</f>
        <v/>
      </c>
      <c r="I51" s="9">
        <f>History_Data!O51</f>
        <v/>
      </c>
      <c r="J51" s="9">
        <f>History_Data!P51</f>
        <v/>
      </c>
    </row>
    <row r="52">
      <c r="A52" s="11">
        <f>History_Data!A52</f>
        <v/>
      </c>
      <c r="B52" s="9">
        <f>History_Data!L52+History_Data!M52+History_Data!N52+History_Data!O52+History_Data!P52</f>
        <v/>
      </c>
      <c r="C52" s="9">
        <f>History_Data!AA52+History_Data!AB52+History_Data!AC52+History_Data!AD52+History_Data!AE52</f>
        <v/>
      </c>
      <c r="D52" s="9">
        <f>History_Data!B52+History_Data!C52+History_Data!D52+History_Data!E52+History_Data!F52</f>
        <v/>
      </c>
      <c r="E52" s="9">
        <f>History_Data!G52+History_Data!H52+History_Data!I52+History_Data!J52+History_Data!K52</f>
        <v/>
      </c>
      <c r="F52" s="9">
        <f>History_Data!L52</f>
        <v/>
      </c>
      <c r="G52" s="9">
        <f>History_Data!M52</f>
        <v/>
      </c>
      <c r="H52" s="9">
        <f>History_Data!N52</f>
        <v/>
      </c>
      <c r="I52" s="9">
        <f>History_Data!O52</f>
        <v/>
      </c>
      <c r="J52" s="9">
        <f>History_Data!P52</f>
        <v/>
      </c>
    </row>
    <row r="53">
      <c r="A53" s="11">
        <f>History_Data!A53</f>
        <v/>
      </c>
      <c r="B53" s="9">
        <f>History_Data!L53+History_Data!M53+History_Data!N53+History_Data!O53+History_Data!P53</f>
        <v/>
      </c>
      <c r="C53" s="9">
        <f>History_Data!AA53+History_Data!AB53+History_Data!AC53+History_Data!AD53+History_Data!AE53</f>
        <v/>
      </c>
      <c r="D53" s="9">
        <f>History_Data!B53+History_Data!C53+History_Data!D53+History_Data!E53+History_Data!F53</f>
        <v/>
      </c>
      <c r="E53" s="9">
        <f>History_Data!G53+History_Data!H53+History_Data!I53+History_Data!J53+History_Data!K53</f>
        <v/>
      </c>
      <c r="F53" s="9">
        <f>History_Data!L53</f>
        <v/>
      </c>
      <c r="G53" s="9">
        <f>History_Data!M53</f>
        <v/>
      </c>
      <c r="H53" s="9">
        <f>History_Data!N53</f>
        <v/>
      </c>
      <c r="I53" s="9">
        <f>History_Data!O53</f>
        <v/>
      </c>
      <c r="J53" s="9">
        <f>History_Data!P53</f>
        <v/>
      </c>
    </row>
    <row r="54">
      <c r="A54" s="11">
        <f>History_Data!A54</f>
        <v/>
      </c>
      <c r="B54" s="9">
        <f>History_Data!L54+History_Data!M54+History_Data!N54+History_Data!O54+History_Data!P54</f>
        <v/>
      </c>
      <c r="C54" s="9">
        <f>History_Data!AA54+History_Data!AB54+History_Data!AC54+History_Data!AD54+History_Data!AE54</f>
        <v/>
      </c>
      <c r="D54" s="9">
        <f>History_Data!B54+History_Data!C54+History_Data!D54+History_Data!E54+History_Data!F54</f>
        <v/>
      </c>
      <c r="E54" s="9">
        <f>History_Data!G54+History_Data!H54+History_Data!I54+History_Data!J54+History_Data!K54</f>
        <v/>
      </c>
      <c r="F54" s="9">
        <f>History_Data!L54</f>
        <v/>
      </c>
      <c r="G54" s="9">
        <f>History_Data!M54</f>
        <v/>
      </c>
      <c r="H54" s="9">
        <f>History_Data!N54</f>
        <v/>
      </c>
      <c r="I54" s="9">
        <f>History_Data!O54</f>
        <v/>
      </c>
      <c r="J54" s="9">
        <f>History_Data!P54</f>
        <v/>
      </c>
    </row>
    <row r="55">
      <c r="A55" s="11">
        <f>History_Data!A55</f>
        <v/>
      </c>
      <c r="B55" s="9">
        <f>History_Data!L55+History_Data!M55+History_Data!N55+History_Data!O55+History_Data!P55</f>
        <v/>
      </c>
      <c r="C55" s="9">
        <f>History_Data!AA55+History_Data!AB55+History_Data!AC55+History_Data!AD55+History_Data!AE55</f>
        <v/>
      </c>
      <c r="D55" s="9">
        <f>History_Data!B55+History_Data!C55+History_Data!D55+History_Data!E55+History_Data!F55</f>
        <v/>
      </c>
      <c r="E55" s="9">
        <f>History_Data!G55+History_Data!H55+History_Data!I55+History_Data!J55+History_Data!K55</f>
        <v/>
      </c>
      <c r="F55" s="9">
        <f>History_Data!L55</f>
        <v/>
      </c>
      <c r="G55" s="9">
        <f>History_Data!M55</f>
        <v/>
      </c>
      <c r="H55" s="9">
        <f>History_Data!N55</f>
        <v/>
      </c>
      <c r="I55" s="9">
        <f>History_Data!O55</f>
        <v/>
      </c>
      <c r="J55" s="9">
        <f>History_Data!P55</f>
        <v/>
      </c>
    </row>
    <row r="56">
      <c r="A56" s="11">
        <f>History_Data!A56</f>
        <v/>
      </c>
      <c r="B56" s="9">
        <f>History_Data!L56+History_Data!M56+History_Data!N56+History_Data!O56+History_Data!P56</f>
        <v/>
      </c>
      <c r="C56" s="9">
        <f>History_Data!AA56+History_Data!AB56+History_Data!AC56+History_Data!AD56+History_Data!AE56</f>
        <v/>
      </c>
      <c r="D56" s="9">
        <f>History_Data!B56+History_Data!C56+History_Data!D56+History_Data!E56+History_Data!F56</f>
        <v/>
      </c>
      <c r="E56" s="9">
        <f>History_Data!G56+History_Data!H56+History_Data!I56+History_Data!J56+History_Data!K56</f>
        <v/>
      </c>
      <c r="F56" s="9">
        <f>History_Data!L56</f>
        <v/>
      </c>
      <c r="G56" s="9">
        <f>History_Data!M56</f>
        <v/>
      </c>
      <c r="H56" s="9">
        <f>History_Data!N56</f>
        <v/>
      </c>
      <c r="I56" s="9">
        <f>History_Data!O56</f>
        <v/>
      </c>
      <c r="J56" s="9">
        <f>History_Data!P56</f>
        <v/>
      </c>
    </row>
    <row r="57">
      <c r="A57" s="11">
        <f>History_Data!A57</f>
        <v/>
      </c>
      <c r="B57" s="9">
        <f>History_Data!L57+History_Data!M57+History_Data!N57+History_Data!O57+History_Data!P57</f>
        <v/>
      </c>
      <c r="C57" s="9">
        <f>History_Data!AA57+History_Data!AB57+History_Data!AC57+History_Data!AD57+History_Data!AE57</f>
        <v/>
      </c>
      <c r="D57" s="9">
        <f>History_Data!B57+History_Data!C57+History_Data!D57+History_Data!E57+History_Data!F57</f>
        <v/>
      </c>
      <c r="E57" s="9">
        <f>History_Data!G57+History_Data!H57+History_Data!I57+History_Data!J57+History_Data!K57</f>
        <v/>
      </c>
      <c r="F57" s="9">
        <f>History_Data!L57</f>
        <v/>
      </c>
      <c r="G57" s="9">
        <f>History_Data!M57</f>
        <v/>
      </c>
      <c r="H57" s="9">
        <f>History_Data!N57</f>
        <v/>
      </c>
      <c r="I57" s="9">
        <f>History_Data!O57</f>
        <v/>
      </c>
      <c r="J57" s="9">
        <f>History_Data!P57</f>
        <v/>
      </c>
    </row>
    <row r="58">
      <c r="A58" s="11">
        <f>History_Data!A58</f>
        <v/>
      </c>
      <c r="B58" s="9">
        <f>History_Data!L58+History_Data!M58+History_Data!N58+History_Data!O58+History_Data!P58</f>
        <v/>
      </c>
      <c r="C58" s="9">
        <f>History_Data!AA58+History_Data!AB58+History_Data!AC58+History_Data!AD58+History_Data!AE58</f>
        <v/>
      </c>
      <c r="D58" s="9">
        <f>History_Data!B58+History_Data!C58+History_Data!D58+History_Data!E58+History_Data!F58</f>
        <v/>
      </c>
      <c r="E58" s="9">
        <f>History_Data!G58+History_Data!H58+History_Data!I58+History_Data!J58+History_Data!K58</f>
        <v/>
      </c>
      <c r="F58" s="9">
        <f>History_Data!L58</f>
        <v/>
      </c>
      <c r="G58" s="9">
        <f>History_Data!M58</f>
        <v/>
      </c>
      <c r="H58" s="9">
        <f>History_Data!N58</f>
        <v/>
      </c>
      <c r="I58" s="9">
        <f>History_Data!O58</f>
        <v/>
      </c>
      <c r="J58" s="9">
        <f>History_Data!P58</f>
        <v/>
      </c>
    </row>
    <row r="59">
      <c r="A59" s="11">
        <f>History_Data!A59</f>
        <v/>
      </c>
      <c r="B59" s="9">
        <f>History_Data!L59+History_Data!M59+History_Data!N59+History_Data!O59+History_Data!P59</f>
        <v/>
      </c>
      <c r="C59" s="9">
        <f>History_Data!AA59+History_Data!AB59+History_Data!AC59+History_Data!AD59+History_Data!AE59</f>
        <v/>
      </c>
      <c r="D59" s="9">
        <f>History_Data!B59+History_Data!C59+History_Data!D59+History_Data!E59+History_Data!F59</f>
        <v/>
      </c>
      <c r="E59" s="9">
        <f>History_Data!G59+History_Data!H59+History_Data!I59+History_Data!J59+History_Data!K59</f>
        <v/>
      </c>
      <c r="F59" s="9">
        <f>History_Data!L59</f>
        <v/>
      </c>
      <c r="G59" s="9">
        <f>History_Data!M59</f>
        <v/>
      </c>
      <c r="H59" s="9">
        <f>History_Data!N59</f>
        <v/>
      </c>
      <c r="I59" s="9">
        <f>History_Data!O59</f>
        <v/>
      </c>
      <c r="J59" s="9">
        <f>History_Data!P59</f>
        <v/>
      </c>
    </row>
    <row r="60">
      <c r="A60" s="11">
        <f>History_Data!A60</f>
        <v/>
      </c>
      <c r="B60" s="9">
        <f>History_Data!L60+History_Data!M60+History_Data!N60+History_Data!O60+History_Data!P60</f>
        <v/>
      </c>
      <c r="C60" s="9">
        <f>History_Data!AA60+History_Data!AB60+History_Data!AC60+History_Data!AD60+History_Data!AE60</f>
        <v/>
      </c>
      <c r="D60" s="9">
        <f>History_Data!B60+History_Data!C60+History_Data!D60+History_Data!E60+History_Data!F60</f>
        <v/>
      </c>
      <c r="E60" s="9">
        <f>History_Data!G60+History_Data!H60+History_Data!I60+History_Data!J60+History_Data!K60</f>
        <v/>
      </c>
      <c r="F60" s="9">
        <f>History_Data!L60</f>
        <v/>
      </c>
      <c r="G60" s="9">
        <f>History_Data!M60</f>
        <v/>
      </c>
      <c r="H60" s="9">
        <f>History_Data!N60</f>
        <v/>
      </c>
      <c r="I60" s="9">
        <f>History_Data!O60</f>
        <v/>
      </c>
      <c r="J60" s="9">
        <f>History_Data!P60</f>
        <v/>
      </c>
    </row>
    <row r="61">
      <c r="A61" s="11">
        <f>History_Data!A61</f>
        <v/>
      </c>
      <c r="B61" s="9">
        <f>History_Data!L61+History_Data!M61+History_Data!N61+History_Data!O61+History_Data!P61</f>
        <v/>
      </c>
      <c r="C61" s="9">
        <f>History_Data!AA61+History_Data!AB61+History_Data!AC61+History_Data!AD61+History_Data!AE61</f>
        <v/>
      </c>
      <c r="D61" s="9">
        <f>History_Data!B61+History_Data!C61+History_Data!D61+History_Data!E61+History_Data!F61</f>
        <v/>
      </c>
      <c r="E61" s="9">
        <f>History_Data!G61+History_Data!H61+History_Data!I61+History_Data!J61+History_Data!K61</f>
        <v/>
      </c>
      <c r="F61" s="9">
        <f>History_Data!L61</f>
        <v/>
      </c>
      <c r="G61" s="9">
        <f>History_Data!M61</f>
        <v/>
      </c>
      <c r="H61" s="9">
        <f>History_Data!N61</f>
        <v/>
      </c>
      <c r="I61" s="9">
        <f>History_Data!O61</f>
        <v/>
      </c>
      <c r="J61" s="9">
        <f>History_Data!P61</f>
        <v/>
      </c>
    </row>
    <row r="62">
      <c r="A62" s="11">
        <f>History_Data!A62</f>
        <v/>
      </c>
      <c r="B62" s="9">
        <f>History_Data!L62+History_Data!M62+History_Data!N62+History_Data!O62+History_Data!P62</f>
        <v/>
      </c>
      <c r="C62" s="9">
        <f>History_Data!AA62+History_Data!AB62+History_Data!AC62+History_Data!AD62+History_Data!AE62</f>
        <v/>
      </c>
      <c r="D62" s="9">
        <f>History_Data!B62+History_Data!C62+History_Data!D62+History_Data!E62+History_Data!F62</f>
        <v/>
      </c>
      <c r="E62" s="9">
        <f>History_Data!G62+History_Data!H62+History_Data!I62+History_Data!J62+History_Data!K62</f>
        <v/>
      </c>
      <c r="F62" s="9">
        <f>History_Data!L62</f>
        <v/>
      </c>
      <c r="G62" s="9">
        <f>History_Data!M62</f>
        <v/>
      </c>
      <c r="H62" s="9">
        <f>History_Data!N62</f>
        <v/>
      </c>
      <c r="I62" s="9">
        <f>History_Data!O62</f>
        <v/>
      </c>
      <c r="J62" s="9">
        <f>History_Data!P62</f>
        <v/>
      </c>
    </row>
    <row r="63">
      <c r="A63" s="11">
        <f>History_Data!A63</f>
        <v/>
      </c>
      <c r="B63" s="9">
        <f>History_Data!L63+History_Data!M63+History_Data!N63+History_Data!O63+History_Data!P63</f>
        <v/>
      </c>
      <c r="C63" s="9">
        <f>History_Data!AA63+History_Data!AB63+History_Data!AC63+History_Data!AD63+History_Data!AE63</f>
        <v/>
      </c>
      <c r="D63" s="9">
        <f>History_Data!B63+History_Data!C63+History_Data!D63+History_Data!E63+History_Data!F63</f>
        <v/>
      </c>
      <c r="E63" s="9">
        <f>History_Data!G63+History_Data!H63+History_Data!I63+History_Data!J63+History_Data!K63</f>
        <v/>
      </c>
      <c r="F63" s="9">
        <f>History_Data!L63</f>
        <v/>
      </c>
      <c r="G63" s="9">
        <f>History_Data!M63</f>
        <v/>
      </c>
      <c r="H63" s="9">
        <f>History_Data!N63</f>
        <v/>
      </c>
      <c r="I63" s="9">
        <f>History_Data!O63</f>
        <v/>
      </c>
      <c r="J63" s="9">
        <f>History_Data!P63</f>
        <v/>
      </c>
    </row>
    <row r="64">
      <c r="A64" s="11">
        <f>History_Data!A64</f>
        <v/>
      </c>
      <c r="B64" s="9">
        <f>History_Data!L64+History_Data!M64+History_Data!N64+History_Data!O64+History_Data!P64</f>
        <v/>
      </c>
      <c r="C64" s="9">
        <f>History_Data!AA64+History_Data!AB64+History_Data!AC64+History_Data!AD64+History_Data!AE64</f>
        <v/>
      </c>
      <c r="D64" s="9">
        <f>History_Data!B64+History_Data!C64+History_Data!D64+History_Data!E64+History_Data!F64</f>
        <v/>
      </c>
      <c r="E64" s="9">
        <f>History_Data!G64+History_Data!H64+History_Data!I64+History_Data!J64+History_Data!K64</f>
        <v/>
      </c>
      <c r="F64" s="9">
        <f>History_Data!L64</f>
        <v/>
      </c>
      <c r="G64" s="9">
        <f>History_Data!M64</f>
        <v/>
      </c>
      <c r="H64" s="9">
        <f>History_Data!N64</f>
        <v/>
      </c>
      <c r="I64" s="9">
        <f>History_Data!O64</f>
        <v/>
      </c>
      <c r="J64" s="9">
        <f>History_Data!P64</f>
        <v/>
      </c>
    </row>
    <row r="65">
      <c r="A65" s="11">
        <f>History_Data!A65</f>
        <v/>
      </c>
      <c r="B65" s="9">
        <f>History_Data!L65+History_Data!M65+History_Data!N65+History_Data!O65+History_Data!P65</f>
        <v/>
      </c>
      <c r="C65" s="9">
        <f>History_Data!AA65+History_Data!AB65+History_Data!AC65+History_Data!AD65+History_Data!AE65</f>
        <v/>
      </c>
      <c r="D65" s="9">
        <f>History_Data!B65+History_Data!C65+History_Data!D65+History_Data!E65+History_Data!F65</f>
        <v/>
      </c>
      <c r="E65" s="9">
        <f>History_Data!G65+History_Data!H65+History_Data!I65+History_Data!J65+History_Data!K65</f>
        <v/>
      </c>
      <c r="F65" s="9">
        <f>History_Data!L65</f>
        <v/>
      </c>
      <c r="G65" s="9">
        <f>History_Data!M65</f>
        <v/>
      </c>
      <c r="H65" s="9">
        <f>History_Data!N65</f>
        <v/>
      </c>
      <c r="I65" s="9">
        <f>History_Data!O65</f>
        <v/>
      </c>
      <c r="J65" s="9">
        <f>History_Data!P65</f>
        <v/>
      </c>
    </row>
    <row r="66">
      <c r="A66" s="11">
        <f>History_Data!A66</f>
        <v/>
      </c>
      <c r="B66" s="9">
        <f>History_Data!L66+History_Data!M66+History_Data!N66+History_Data!O66+History_Data!P66</f>
        <v/>
      </c>
      <c r="C66" s="9">
        <f>History_Data!AA66+History_Data!AB66+History_Data!AC66+History_Data!AD66+History_Data!AE66</f>
        <v/>
      </c>
      <c r="D66" s="9">
        <f>History_Data!B66+History_Data!C66+History_Data!D66+History_Data!E66+History_Data!F66</f>
        <v/>
      </c>
      <c r="E66" s="9">
        <f>History_Data!G66+History_Data!H66+History_Data!I66+History_Data!J66+History_Data!K66</f>
        <v/>
      </c>
      <c r="F66" s="9">
        <f>History_Data!L66</f>
        <v/>
      </c>
      <c r="G66" s="9">
        <f>History_Data!M66</f>
        <v/>
      </c>
      <c r="H66" s="9">
        <f>History_Data!N66</f>
        <v/>
      </c>
      <c r="I66" s="9">
        <f>History_Data!O66</f>
        <v/>
      </c>
      <c r="J66" s="9">
        <f>History_Data!P66</f>
        <v/>
      </c>
    </row>
    <row r="67">
      <c r="A67" s="11">
        <f>History_Data!A67</f>
        <v/>
      </c>
      <c r="B67" s="9">
        <f>History_Data!L67+History_Data!M67+History_Data!N67+History_Data!O67+History_Data!P67</f>
        <v/>
      </c>
      <c r="C67" s="9">
        <f>History_Data!AA67+History_Data!AB67+History_Data!AC67+History_Data!AD67+History_Data!AE67</f>
        <v/>
      </c>
      <c r="D67" s="9">
        <f>History_Data!B67+History_Data!C67+History_Data!D67+History_Data!E67+History_Data!F67</f>
        <v/>
      </c>
      <c r="E67" s="9">
        <f>History_Data!G67+History_Data!H67+History_Data!I67+History_Data!J67+History_Data!K67</f>
        <v/>
      </c>
      <c r="F67" s="9">
        <f>History_Data!L67</f>
        <v/>
      </c>
      <c r="G67" s="9">
        <f>History_Data!M67</f>
        <v/>
      </c>
      <c r="H67" s="9">
        <f>History_Data!N67</f>
        <v/>
      </c>
      <c r="I67" s="9">
        <f>History_Data!O67</f>
        <v/>
      </c>
      <c r="J67" s="9">
        <f>History_Data!P67</f>
        <v/>
      </c>
    </row>
    <row r="68">
      <c r="A68" s="11">
        <f>History_Data!A68</f>
        <v/>
      </c>
      <c r="B68" s="9">
        <f>History_Data!L68+History_Data!M68+History_Data!N68+History_Data!O68+History_Data!P68</f>
        <v/>
      </c>
      <c r="C68" s="9">
        <f>History_Data!AA68+History_Data!AB68+History_Data!AC68+History_Data!AD68+History_Data!AE68</f>
        <v/>
      </c>
      <c r="D68" s="9">
        <f>History_Data!B68+History_Data!C68+History_Data!D68+History_Data!E68+History_Data!F68</f>
        <v/>
      </c>
      <c r="E68" s="9">
        <f>History_Data!G68+History_Data!H68+History_Data!I68+History_Data!J68+History_Data!K68</f>
        <v/>
      </c>
      <c r="F68" s="9">
        <f>History_Data!L68</f>
        <v/>
      </c>
      <c r="G68" s="9">
        <f>History_Data!M68</f>
        <v/>
      </c>
      <c r="H68" s="9">
        <f>History_Data!N68</f>
        <v/>
      </c>
      <c r="I68" s="9">
        <f>History_Data!O68</f>
        <v/>
      </c>
      <c r="J68" s="9">
        <f>History_Data!P68</f>
        <v/>
      </c>
    </row>
    <row r="69">
      <c r="A69" s="11">
        <f>History_Data!A69</f>
        <v/>
      </c>
      <c r="B69" s="9">
        <f>History_Data!L69+History_Data!M69+History_Data!N69+History_Data!O69+History_Data!P69</f>
        <v/>
      </c>
      <c r="C69" s="9">
        <f>History_Data!AA69+History_Data!AB69+History_Data!AC69+History_Data!AD69+History_Data!AE69</f>
        <v/>
      </c>
      <c r="D69" s="9">
        <f>History_Data!B69+History_Data!C69+History_Data!D69+History_Data!E69+History_Data!F69</f>
        <v/>
      </c>
      <c r="E69" s="9">
        <f>History_Data!G69+History_Data!H69+History_Data!I69+History_Data!J69+History_Data!K69</f>
        <v/>
      </c>
      <c r="F69" s="9">
        <f>History_Data!L69</f>
        <v/>
      </c>
      <c r="G69" s="9">
        <f>History_Data!M69</f>
        <v/>
      </c>
      <c r="H69" s="9">
        <f>History_Data!N69</f>
        <v/>
      </c>
      <c r="I69" s="9">
        <f>History_Data!O69</f>
        <v/>
      </c>
      <c r="J69" s="9">
        <f>History_Data!P69</f>
        <v/>
      </c>
    </row>
    <row r="70">
      <c r="A70" s="11">
        <f>History_Data!A70</f>
        <v/>
      </c>
      <c r="B70" s="9">
        <f>History_Data!L70+History_Data!M70+History_Data!N70+History_Data!O70+History_Data!P70</f>
        <v/>
      </c>
      <c r="C70" s="9">
        <f>History_Data!AA70+History_Data!AB70+History_Data!AC70+History_Data!AD70+History_Data!AE70</f>
        <v/>
      </c>
      <c r="D70" s="9">
        <f>History_Data!B70+History_Data!C70+History_Data!D70+History_Data!E70+History_Data!F70</f>
        <v/>
      </c>
      <c r="E70" s="9">
        <f>History_Data!G70+History_Data!H70+History_Data!I70+History_Data!J70+History_Data!K70</f>
        <v/>
      </c>
      <c r="F70" s="9">
        <f>History_Data!L70</f>
        <v/>
      </c>
      <c r="G70" s="9">
        <f>History_Data!M70</f>
        <v/>
      </c>
      <c r="H70" s="9">
        <f>History_Data!N70</f>
        <v/>
      </c>
      <c r="I70" s="9">
        <f>History_Data!O70</f>
        <v/>
      </c>
      <c r="J70" s="9">
        <f>History_Data!P70</f>
        <v/>
      </c>
    </row>
    <row r="71">
      <c r="A71" s="11">
        <f>History_Data!A71</f>
        <v/>
      </c>
      <c r="B71" s="9">
        <f>History_Data!L71+History_Data!M71+History_Data!N71+History_Data!O71+History_Data!P71</f>
        <v/>
      </c>
      <c r="C71" s="9">
        <f>History_Data!AA71+History_Data!AB71+History_Data!AC71+History_Data!AD71+History_Data!AE71</f>
        <v/>
      </c>
      <c r="D71" s="9">
        <f>History_Data!B71+History_Data!C71+History_Data!D71+History_Data!E71+History_Data!F71</f>
        <v/>
      </c>
      <c r="E71" s="9">
        <f>History_Data!G71+History_Data!H71+History_Data!I71+History_Data!J71+History_Data!K71</f>
        <v/>
      </c>
      <c r="F71" s="9">
        <f>History_Data!L71</f>
        <v/>
      </c>
      <c r="G71" s="9">
        <f>History_Data!M71</f>
        <v/>
      </c>
      <c r="H71" s="9">
        <f>History_Data!N71</f>
        <v/>
      </c>
      <c r="I71" s="9">
        <f>History_Data!O71</f>
        <v/>
      </c>
      <c r="J71" s="9">
        <f>History_Data!P71</f>
        <v/>
      </c>
    </row>
    <row r="72">
      <c r="A72" s="11">
        <f>History_Data!A72</f>
        <v/>
      </c>
      <c r="B72" s="9">
        <f>History_Data!L72+History_Data!M72+History_Data!N72+History_Data!O72+History_Data!P72</f>
        <v/>
      </c>
      <c r="C72" s="9">
        <f>History_Data!AA72+History_Data!AB72+History_Data!AC72+History_Data!AD72+History_Data!AE72</f>
        <v/>
      </c>
      <c r="D72" s="9">
        <f>History_Data!B72+History_Data!C72+History_Data!D72+History_Data!E72+History_Data!F72</f>
        <v/>
      </c>
      <c r="E72" s="9">
        <f>History_Data!G72+History_Data!H72+History_Data!I72+History_Data!J72+History_Data!K72</f>
        <v/>
      </c>
      <c r="F72" s="9">
        <f>History_Data!L72</f>
        <v/>
      </c>
      <c r="G72" s="9">
        <f>History_Data!M72</f>
        <v/>
      </c>
      <c r="H72" s="9">
        <f>History_Data!N72</f>
        <v/>
      </c>
      <c r="I72" s="9">
        <f>History_Data!O72</f>
        <v/>
      </c>
      <c r="J72" s="9">
        <f>History_Data!P72</f>
        <v/>
      </c>
    </row>
    <row r="73">
      <c r="A73" s="11">
        <f>History_Data!A73</f>
        <v/>
      </c>
      <c r="B73" s="9">
        <f>History_Data!L73+History_Data!M73+History_Data!N73+History_Data!O73+History_Data!P73</f>
        <v/>
      </c>
      <c r="C73" s="9">
        <f>History_Data!AA73+History_Data!AB73+History_Data!AC73+History_Data!AD73+History_Data!AE73</f>
        <v/>
      </c>
      <c r="D73" s="9">
        <f>History_Data!B73+History_Data!C73+History_Data!D73+History_Data!E73+History_Data!F73</f>
        <v/>
      </c>
      <c r="E73" s="9">
        <f>History_Data!G73+History_Data!H73+History_Data!I73+History_Data!J73+History_Data!K73</f>
        <v/>
      </c>
      <c r="F73" s="9">
        <f>History_Data!L73</f>
        <v/>
      </c>
      <c r="G73" s="9">
        <f>History_Data!M73</f>
        <v/>
      </c>
      <c r="H73" s="9">
        <f>History_Data!N73</f>
        <v/>
      </c>
      <c r="I73" s="9">
        <f>History_Data!O73</f>
        <v/>
      </c>
      <c r="J73" s="9">
        <f>History_Data!P73</f>
        <v/>
      </c>
    </row>
    <row r="74">
      <c r="A74" s="11">
        <f>History_Data!A74</f>
        <v/>
      </c>
      <c r="B74" s="9">
        <f>History_Data!L74+History_Data!M74+History_Data!N74+History_Data!O74+History_Data!P74</f>
        <v/>
      </c>
      <c r="C74" s="9">
        <f>History_Data!AA74+History_Data!AB74+History_Data!AC74+History_Data!AD74+History_Data!AE74</f>
        <v/>
      </c>
      <c r="D74" s="9">
        <f>History_Data!B74+History_Data!C74+History_Data!D74+History_Data!E74+History_Data!F74</f>
        <v/>
      </c>
      <c r="E74" s="9">
        <f>History_Data!G74+History_Data!H74+History_Data!I74+History_Data!J74+History_Data!K74</f>
        <v/>
      </c>
      <c r="F74" s="9">
        <f>History_Data!L74</f>
        <v/>
      </c>
      <c r="G74" s="9">
        <f>History_Data!M74</f>
        <v/>
      </c>
      <c r="H74" s="9">
        <f>History_Data!N74</f>
        <v/>
      </c>
      <c r="I74" s="9">
        <f>History_Data!O74</f>
        <v/>
      </c>
      <c r="J74" s="9">
        <f>History_Data!P74</f>
        <v/>
      </c>
    </row>
    <row r="75">
      <c r="A75" s="11">
        <f>History_Data!A75</f>
        <v/>
      </c>
      <c r="B75" s="9">
        <f>History_Data!L75+History_Data!M75+History_Data!N75+History_Data!O75+History_Data!P75</f>
        <v/>
      </c>
      <c r="C75" s="9">
        <f>History_Data!AA75+History_Data!AB75+History_Data!AC75+History_Data!AD75+History_Data!AE75</f>
        <v/>
      </c>
      <c r="D75" s="9">
        <f>History_Data!B75+History_Data!C75+History_Data!D75+History_Data!E75+History_Data!F75</f>
        <v/>
      </c>
      <c r="E75" s="9">
        <f>History_Data!G75+History_Data!H75+History_Data!I75+History_Data!J75+History_Data!K75</f>
        <v/>
      </c>
      <c r="F75" s="9">
        <f>History_Data!L75</f>
        <v/>
      </c>
      <c r="G75" s="9">
        <f>History_Data!M75</f>
        <v/>
      </c>
      <c r="H75" s="9">
        <f>History_Data!N75</f>
        <v/>
      </c>
      <c r="I75" s="9">
        <f>History_Data!O75</f>
        <v/>
      </c>
      <c r="J75" s="9">
        <f>History_Data!P75</f>
        <v/>
      </c>
    </row>
    <row r="76">
      <c r="A76" s="11">
        <f>History_Data!A76</f>
        <v/>
      </c>
      <c r="B76" s="9">
        <f>History_Data!L76+History_Data!M76+History_Data!N76+History_Data!O76+History_Data!P76</f>
        <v/>
      </c>
      <c r="C76" s="9">
        <f>History_Data!AA76+History_Data!AB76+History_Data!AC76+History_Data!AD76+History_Data!AE76</f>
        <v/>
      </c>
      <c r="D76" s="9">
        <f>History_Data!B76+History_Data!C76+History_Data!D76+History_Data!E76+History_Data!F76</f>
        <v/>
      </c>
      <c r="E76" s="9">
        <f>History_Data!G76+History_Data!H76+History_Data!I76+History_Data!J76+History_Data!K76</f>
        <v/>
      </c>
      <c r="F76" s="9">
        <f>History_Data!L76</f>
        <v/>
      </c>
      <c r="G76" s="9">
        <f>History_Data!M76</f>
        <v/>
      </c>
      <c r="H76" s="9">
        <f>History_Data!N76</f>
        <v/>
      </c>
      <c r="I76" s="9">
        <f>History_Data!O76</f>
        <v/>
      </c>
      <c r="J76" s="9">
        <f>History_Data!P76</f>
        <v/>
      </c>
    </row>
    <row r="77">
      <c r="A77" s="11">
        <f>History_Data!A77</f>
        <v/>
      </c>
      <c r="B77" s="9">
        <f>History_Data!L77+History_Data!M77+History_Data!N77+History_Data!O77+History_Data!P77</f>
        <v/>
      </c>
      <c r="C77" s="9">
        <f>History_Data!AA77+History_Data!AB77+History_Data!AC77+History_Data!AD77+History_Data!AE77</f>
        <v/>
      </c>
      <c r="D77" s="9">
        <f>History_Data!B77+History_Data!C77+History_Data!D77+History_Data!E77+History_Data!F77</f>
        <v/>
      </c>
      <c r="E77" s="9">
        <f>History_Data!G77+History_Data!H77+History_Data!I77+History_Data!J77+History_Data!K77</f>
        <v/>
      </c>
      <c r="F77" s="9">
        <f>History_Data!L77</f>
        <v/>
      </c>
      <c r="G77" s="9">
        <f>History_Data!M77</f>
        <v/>
      </c>
      <c r="H77" s="9">
        <f>History_Data!N77</f>
        <v/>
      </c>
      <c r="I77" s="9">
        <f>History_Data!O77</f>
        <v/>
      </c>
      <c r="J77" s="9">
        <f>History_Data!P77</f>
        <v/>
      </c>
    </row>
    <row r="78">
      <c r="A78" s="11">
        <f>History_Data!A78</f>
        <v/>
      </c>
      <c r="B78" s="9">
        <f>History_Data!L78+History_Data!M78+History_Data!N78+History_Data!O78+History_Data!P78</f>
        <v/>
      </c>
      <c r="C78" s="9">
        <f>History_Data!AA78+History_Data!AB78+History_Data!AC78+History_Data!AD78+History_Data!AE78</f>
        <v/>
      </c>
      <c r="D78" s="9">
        <f>History_Data!B78+History_Data!C78+History_Data!D78+History_Data!E78+History_Data!F78</f>
        <v/>
      </c>
      <c r="E78" s="9">
        <f>History_Data!G78+History_Data!H78+History_Data!I78+History_Data!J78+History_Data!K78</f>
        <v/>
      </c>
      <c r="F78" s="9">
        <f>History_Data!L78</f>
        <v/>
      </c>
      <c r="G78" s="9">
        <f>History_Data!M78</f>
        <v/>
      </c>
      <c r="H78" s="9">
        <f>History_Data!N78</f>
        <v/>
      </c>
      <c r="I78" s="9">
        <f>History_Data!O78</f>
        <v/>
      </c>
      <c r="J78" s="9">
        <f>History_Data!P78</f>
        <v/>
      </c>
    </row>
    <row r="79">
      <c r="A79" s="11">
        <f>History_Data!A79</f>
        <v/>
      </c>
      <c r="B79" s="9">
        <f>History_Data!L79+History_Data!M79+History_Data!N79+History_Data!O79+History_Data!P79</f>
        <v/>
      </c>
      <c r="C79" s="9">
        <f>History_Data!AA79+History_Data!AB79+History_Data!AC79+History_Data!AD79+History_Data!AE79</f>
        <v/>
      </c>
      <c r="D79" s="9">
        <f>History_Data!B79+History_Data!C79+History_Data!D79+History_Data!E79+History_Data!F79</f>
        <v/>
      </c>
      <c r="E79" s="9">
        <f>History_Data!G79+History_Data!H79+History_Data!I79+History_Data!J79+History_Data!K79</f>
        <v/>
      </c>
      <c r="F79" s="9">
        <f>History_Data!L79</f>
        <v/>
      </c>
      <c r="G79" s="9">
        <f>History_Data!M79</f>
        <v/>
      </c>
      <c r="H79" s="9">
        <f>History_Data!N79</f>
        <v/>
      </c>
      <c r="I79" s="9">
        <f>History_Data!O79</f>
        <v/>
      </c>
      <c r="J79" s="9">
        <f>History_Data!P79</f>
        <v/>
      </c>
    </row>
    <row r="80">
      <c r="A80" s="11">
        <f>History_Data!A80</f>
        <v/>
      </c>
      <c r="B80" s="9">
        <f>History_Data!L80+History_Data!M80+History_Data!N80+History_Data!O80+History_Data!P80</f>
        <v/>
      </c>
      <c r="C80" s="9">
        <f>History_Data!AA80+History_Data!AB80+History_Data!AC80+History_Data!AD80+History_Data!AE80</f>
        <v/>
      </c>
      <c r="D80" s="9">
        <f>History_Data!B80+History_Data!C80+History_Data!D80+History_Data!E80+History_Data!F80</f>
        <v/>
      </c>
      <c r="E80" s="9">
        <f>History_Data!G80+History_Data!H80+History_Data!I80+History_Data!J80+History_Data!K80</f>
        <v/>
      </c>
      <c r="F80" s="9">
        <f>History_Data!L80</f>
        <v/>
      </c>
      <c r="G80" s="9">
        <f>History_Data!M80</f>
        <v/>
      </c>
      <c r="H80" s="9">
        <f>History_Data!N80</f>
        <v/>
      </c>
      <c r="I80" s="9">
        <f>History_Data!O80</f>
        <v/>
      </c>
      <c r="J80" s="9">
        <f>History_Data!P80</f>
        <v/>
      </c>
    </row>
    <row r="81">
      <c r="A81" s="11">
        <f>History_Data!A81</f>
        <v/>
      </c>
      <c r="B81" s="9">
        <f>History_Data!L81+History_Data!M81+History_Data!N81+History_Data!O81+History_Data!P81</f>
        <v/>
      </c>
      <c r="C81" s="9">
        <f>History_Data!AA81+History_Data!AB81+History_Data!AC81+History_Data!AD81+History_Data!AE81</f>
        <v/>
      </c>
      <c r="D81" s="9">
        <f>History_Data!B81+History_Data!C81+History_Data!D81+History_Data!E81+History_Data!F81</f>
        <v/>
      </c>
      <c r="E81" s="9">
        <f>History_Data!G81+History_Data!H81+History_Data!I81+History_Data!J81+History_Data!K81</f>
        <v/>
      </c>
      <c r="F81" s="9">
        <f>History_Data!L81</f>
        <v/>
      </c>
      <c r="G81" s="9">
        <f>History_Data!M81</f>
        <v/>
      </c>
      <c r="H81" s="9">
        <f>History_Data!N81</f>
        <v/>
      </c>
      <c r="I81" s="9">
        <f>History_Data!O81</f>
        <v/>
      </c>
      <c r="J81" s="9">
        <f>History_Data!P81</f>
        <v/>
      </c>
    </row>
    <row r="82">
      <c r="A82" s="11">
        <f>History_Data!A82</f>
        <v/>
      </c>
      <c r="B82" s="9">
        <f>History_Data!L82+History_Data!M82+History_Data!N82+History_Data!O82+History_Data!P82</f>
        <v/>
      </c>
      <c r="C82" s="9">
        <f>History_Data!AA82+History_Data!AB82+History_Data!AC82+History_Data!AD82+History_Data!AE82</f>
        <v/>
      </c>
      <c r="D82" s="9">
        <f>History_Data!B82+History_Data!C82+History_Data!D82+History_Data!E82+History_Data!F82</f>
        <v/>
      </c>
      <c r="E82" s="9">
        <f>History_Data!G82+History_Data!H82+History_Data!I82+History_Data!J82+History_Data!K82</f>
        <v/>
      </c>
      <c r="F82" s="9">
        <f>History_Data!L82</f>
        <v/>
      </c>
      <c r="G82" s="9">
        <f>History_Data!M82</f>
        <v/>
      </c>
      <c r="H82" s="9">
        <f>History_Data!N82</f>
        <v/>
      </c>
      <c r="I82" s="9">
        <f>History_Data!O82</f>
        <v/>
      </c>
      <c r="J82" s="9">
        <f>History_Data!P82</f>
        <v/>
      </c>
    </row>
    <row r="83">
      <c r="A83" s="11">
        <f>History_Data!A83</f>
        <v/>
      </c>
      <c r="B83" s="9">
        <f>History_Data!L83+History_Data!M83+History_Data!N83+History_Data!O83+History_Data!P83</f>
        <v/>
      </c>
      <c r="C83" s="9">
        <f>History_Data!AA83+History_Data!AB83+History_Data!AC83+History_Data!AD83+History_Data!AE83</f>
        <v/>
      </c>
      <c r="D83" s="9">
        <f>History_Data!B83+History_Data!C83+History_Data!D83+History_Data!E83+History_Data!F83</f>
        <v/>
      </c>
      <c r="E83" s="9">
        <f>History_Data!G83+History_Data!H83+History_Data!I83+History_Data!J83+History_Data!K83</f>
        <v/>
      </c>
      <c r="F83" s="9">
        <f>History_Data!L83</f>
        <v/>
      </c>
      <c r="G83" s="9">
        <f>History_Data!M83</f>
        <v/>
      </c>
      <c r="H83" s="9">
        <f>History_Data!N83</f>
        <v/>
      </c>
      <c r="I83" s="9">
        <f>History_Data!O83</f>
        <v/>
      </c>
      <c r="J83" s="9">
        <f>History_Data!P83</f>
        <v/>
      </c>
    </row>
    <row r="84">
      <c r="A84" s="11">
        <f>History_Data!A84</f>
        <v/>
      </c>
      <c r="B84" s="9">
        <f>History_Data!L84+History_Data!M84+History_Data!N84+History_Data!O84+History_Data!P84</f>
        <v/>
      </c>
      <c r="C84" s="9">
        <f>History_Data!AA84+History_Data!AB84+History_Data!AC84+History_Data!AD84+History_Data!AE84</f>
        <v/>
      </c>
      <c r="D84" s="9">
        <f>History_Data!B84+History_Data!C84+History_Data!D84+History_Data!E84+History_Data!F84</f>
        <v/>
      </c>
      <c r="E84" s="9">
        <f>History_Data!G84+History_Data!H84+History_Data!I84+History_Data!J84+History_Data!K84</f>
        <v/>
      </c>
      <c r="F84" s="9">
        <f>History_Data!L84</f>
        <v/>
      </c>
      <c r="G84" s="9">
        <f>History_Data!M84</f>
        <v/>
      </c>
      <c r="H84" s="9">
        <f>History_Data!N84</f>
        <v/>
      </c>
      <c r="I84" s="9">
        <f>History_Data!O84</f>
        <v/>
      </c>
      <c r="J84" s="9">
        <f>History_Data!P84</f>
        <v/>
      </c>
    </row>
    <row r="85">
      <c r="A85" s="11">
        <f>History_Data!A85</f>
        <v/>
      </c>
      <c r="B85" s="9">
        <f>History_Data!L85+History_Data!M85+History_Data!N85+History_Data!O85+History_Data!P85</f>
        <v/>
      </c>
      <c r="C85" s="9">
        <f>History_Data!AA85+History_Data!AB85+History_Data!AC85+History_Data!AD85+History_Data!AE85</f>
        <v/>
      </c>
      <c r="D85" s="9">
        <f>History_Data!B85+History_Data!C85+History_Data!D85+History_Data!E85+History_Data!F85</f>
        <v/>
      </c>
      <c r="E85" s="9">
        <f>History_Data!G85+History_Data!H85+History_Data!I85+History_Data!J85+History_Data!K85</f>
        <v/>
      </c>
      <c r="F85" s="9">
        <f>History_Data!L85</f>
        <v/>
      </c>
      <c r="G85" s="9">
        <f>History_Data!M85</f>
        <v/>
      </c>
      <c r="H85" s="9">
        <f>History_Data!N85</f>
        <v/>
      </c>
      <c r="I85" s="9">
        <f>History_Data!O85</f>
        <v/>
      </c>
      <c r="J85" s="9">
        <f>History_Data!P85</f>
        <v/>
      </c>
    </row>
    <row r="86">
      <c r="A86" s="11">
        <f>History_Data!A86</f>
        <v/>
      </c>
      <c r="B86" s="9">
        <f>History_Data!L86+History_Data!M86+History_Data!N86+History_Data!O86+History_Data!P86</f>
        <v/>
      </c>
      <c r="C86" s="9">
        <f>History_Data!AA86+History_Data!AB86+History_Data!AC86+History_Data!AD86+History_Data!AE86</f>
        <v/>
      </c>
      <c r="D86" s="9">
        <f>History_Data!B86+History_Data!C86+History_Data!D86+History_Data!E86+History_Data!F86</f>
        <v/>
      </c>
      <c r="E86" s="9">
        <f>History_Data!G86+History_Data!H86+History_Data!I86+History_Data!J86+History_Data!K86</f>
        <v/>
      </c>
      <c r="F86" s="9">
        <f>History_Data!L86</f>
        <v/>
      </c>
      <c r="G86" s="9">
        <f>History_Data!M86</f>
        <v/>
      </c>
      <c r="H86" s="9">
        <f>History_Data!N86</f>
        <v/>
      </c>
      <c r="I86" s="9">
        <f>History_Data!O86</f>
        <v/>
      </c>
      <c r="J86" s="9">
        <f>History_Data!P86</f>
        <v/>
      </c>
    </row>
    <row r="87">
      <c r="A87" s="11">
        <f>History_Data!A87</f>
        <v/>
      </c>
      <c r="B87" s="9">
        <f>History_Data!L87+History_Data!M87+History_Data!N87+History_Data!O87+History_Data!P87</f>
        <v/>
      </c>
      <c r="C87" s="9">
        <f>History_Data!AA87+History_Data!AB87+History_Data!AC87+History_Data!AD87+History_Data!AE87</f>
        <v/>
      </c>
      <c r="D87" s="9">
        <f>History_Data!B87+History_Data!C87+History_Data!D87+History_Data!E87+History_Data!F87</f>
        <v/>
      </c>
      <c r="E87" s="9">
        <f>History_Data!G87+History_Data!H87+History_Data!I87+History_Data!J87+History_Data!K87</f>
        <v/>
      </c>
      <c r="F87" s="9">
        <f>History_Data!L87</f>
        <v/>
      </c>
      <c r="G87" s="9">
        <f>History_Data!M87</f>
        <v/>
      </c>
      <c r="H87" s="9">
        <f>History_Data!N87</f>
        <v/>
      </c>
      <c r="I87" s="9">
        <f>History_Data!O87</f>
        <v/>
      </c>
      <c r="J87" s="9">
        <f>History_Data!P87</f>
        <v/>
      </c>
    </row>
    <row r="88">
      <c r="A88" s="11">
        <f>History_Data!A88</f>
        <v/>
      </c>
      <c r="B88" s="9">
        <f>History_Data!L88+History_Data!M88+History_Data!N88+History_Data!O88+History_Data!P88</f>
        <v/>
      </c>
      <c r="C88" s="9">
        <f>History_Data!AA88+History_Data!AB88+History_Data!AC88+History_Data!AD88+History_Data!AE88</f>
        <v/>
      </c>
      <c r="D88" s="9">
        <f>History_Data!B88+History_Data!C88+History_Data!D88+History_Data!E88+History_Data!F88</f>
        <v/>
      </c>
      <c r="E88" s="9">
        <f>History_Data!G88+History_Data!H88+History_Data!I88+History_Data!J88+History_Data!K88</f>
        <v/>
      </c>
      <c r="F88" s="9">
        <f>History_Data!L88</f>
        <v/>
      </c>
      <c r="G88" s="9">
        <f>History_Data!M88</f>
        <v/>
      </c>
      <c r="H88" s="9">
        <f>History_Data!N88</f>
        <v/>
      </c>
      <c r="I88" s="9">
        <f>History_Data!O88</f>
        <v/>
      </c>
      <c r="J88" s="9">
        <f>History_Data!P88</f>
        <v/>
      </c>
    </row>
    <row r="89">
      <c r="A89" s="11">
        <f>History_Data!A89</f>
        <v/>
      </c>
      <c r="B89" s="9">
        <f>History_Data!L89+History_Data!M89+History_Data!N89+History_Data!O89+History_Data!P89</f>
        <v/>
      </c>
      <c r="C89" s="9">
        <f>History_Data!AA89+History_Data!AB89+History_Data!AC89+History_Data!AD89+History_Data!AE89</f>
        <v/>
      </c>
      <c r="D89" s="9">
        <f>History_Data!B89+History_Data!C89+History_Data!D89+History_Data!E89+History_Data!F89</f>
        <v/>
      </c>
      <c r="E89" s="9">
        <f>History_Data!G89+History_Data!H89+History_Data!I89+History_Data!J89+History_Data!K89</f>
        <v/>
      </c>
      <c r="F89" s="9">
        <f>History_Data!L89</f>
        <v/>
      </c>
      <c r="G89" s="9">
        <f>History_Data!M89</f>
        <v/>
      </c>
      <c r="H89" s="9">
        <f>History_Data!N89</f>
        <v/>
      </c>
      <c r="I89" s="9">
        <f>History_Data!O89</f>
        <v/>
      </c>
      <c r="J89" s="9">
        <f>History_Data!P89</f>
        <v/>
      </c>
    </row>
    <row r="90">
      <c r="A90" s="11">
        <f>History_Data!A90</f>
        <v/>
      </c>
      <c r="B90" s="9">
        <f>History_Data!L90+History_Data!M90+History_Data!N90+History_Data!O90+History_Data!P90</f>
        <v/>
      </c>
      <c r="C90" s="9">
        <f>History_Data!AA90+History_Data!AB90+History_Data!AC90+History_Data!AD90+History_Data!AE90</f>
        <v/>
      </c>
      <c r="D90" s="9">
        <f>History_Data!B90+History_Data!C90+History_Data!D90+History_Data!E90+History_Data!F90</f>
        <v/>
      </c>
      <c r="E90" s="9">
        <f>History_Data!G90+History_Data!H90+History_Data!I90+History_Data!J90+History_Data!K90</f>
        <v/>
      </c>
      <c r="F90" s="9">
        <f>History_Data!L90</f>
        <v/>
      </c>
      <c r="G90" s="9">
        <f>History_Data!M90</f>
        <v/>
      </c>
      <c r="H90" s="9">
        <f>History_Data!N90</f>
        <v/>
      </c>
      <c r="I90" s="9">
        <f>History_Data!O90</f>
        <v/>
      </c>
      <c r="J90" s="9">
        <f>History_Data!P90</f>
        <v/>
      </c>
    </row>
    <row r="91">
      <c r="A91" s="11">
        <f>History_Data!A91</f>
        <v/>
      </c>
      <c r="B91" s="9">
        <f>History_Data!L91+History_Data!M91+History_Data!N91+History_Data!O91+History_Data!P91</f>
        <v/>
      </c>
      <c r="C91" s="9">
        <f>History_Data!AA91+History_Data!AB91+History_Data!AC91+History_Data!AD91+History_Data!AE91</f>
        <v/>
      </c>
      <c r="D91" s="9">
        <f>History_Data!B91+History_Data!C91+History_Data!D91+History_Data!E91+History_Data!F91</f>
        <v/>
      </c>
      <c r="E91" s="9">
        <f>History_Data!G91+History_Data!H91+History_Data!I91+History_Data!J91+History_Data!K91</f>
        <v/>
      </c>
      <c r="F91" s="9">
        <f>History_Data!L91</f>
        <v/>
      </c>
      <c r="G91" s="9">
        <f>History_Data!M91</f>
        <v/>
      </c>
      <c r="H91" s="9">
        <f>History_Data!N91</f>
        <v/>
      </c>
      <c r="I91" s="9">
        <f>History_Data!O91</f>
        <v/>
      </c>
      <c r="J91" s="9">
        <f>History_Data!P91</f>
        <v/>
      </c>
    </row>
    <row r="92">
      <c r="A92" s="11">
        <f>History_Data!A92</f>
        <v/>
      </c>
      <c r="B92" s="9">
        <f>History_Data!L92+History_Data!M92+History_Data!N92+History_Data!O92+History_Data!P92</f>
        <v/>
      </c>
      <c r="C92" s="9">
        <f>History_Data!AA92+History_Data!AB92+History_Data!AC92+History_Data!AD92+History_Data!AE92</f>
        <v/>
      </c>
      <c r="D92" s="9">
        <f>History_Data!B92+History_Data!C92+History_Data!D92+History_Data!E92+History_Data!F92</f>
        <v/>
      </c>
      <c r="E92" s="9">
        <f>History_Data!G92+History_Data!H92+History_Data!I92+History_Data!J92+History_Data!K92</f>
        <v/>
      </c>
      <c r="F92" s="9">
        <f>History_Data!L92</f>
        <v/>
      </c>
      <c r="G92" s="9">
        <f>History_Data!M92</f>
        <v/>
      </c>
      <c r="H92" s="9">
        <f>History_Data!N92</f>
        <v/>
      </c>
      <c r="I92" s="9">
        <f>History_Data!O92</f>
        <v/>
      </c>
      <c r="J92" s="9">
        <f>History_Data!P92</f>
        <v/>
      </c>
    </row>
    <row r="93">
      <c r="A93" s="11">
        <f>History_Data!A93</f>
        <v/>
      </c>
      <c r="B93" s="9">
        <f>History_Data!L93+History_Data!M93+History_Data!N93+History_Data!O93+History_Data!P93</f>
        <v/>
      </c>
      <c r="C93" s="9">
        <f>History_Data!AA93+History_Data!AB93+History_Data!AC93+History_Data!AD93+History_Data!AE93</f>
        <v/>
      </c>
      <c r="D93" s="9">
        <f>History_Data!B93+History_Data!C93+History_Data!D93+History_Data!E93+History_Data!F93</f>
        <v/>
      </c>
      <c r="E93" s="9">
        <f>History_Data!G93+History_Data!H93+History_Data!I93+History_Data!J93+History_Data!K93</f>
        <v/>
      </c>
      <c r="F93" s="9">
        <f>History_Data!L93</f>
        <v/>
      </c>
      <c r="G93" s="9">
        <f>History_Data!M93</f>
        <v/>
      </c>
      <c r="H93" s="9">
        <f>History_Data!N93</f>
        <v/>
      </c>
      <c r="I93" s="9">
        <f>History_Data!O93</f>
        <v/>
      </c>
      <c r="J93" s="9">
        <f>History_Data!P93</f>
        <v/>
      </c>
    </row>
    <row r="94">
      <c r="A94" s="11">
        <f>History_Data!A94</f>
        <v/>
      </c>
      <c r="B94" s="9">
        <f>History_Data!L94+History_Data!M94+History_Data!N94+History_Data!O94+History_Data!P94</f>
        <v/>
      </c>
      <c r="C94" s="9">
        <f>History_Data!AA94+History_Data!AB94+History_Data!AC94+History_Data!AD94+History_Data!AE94</f>
        <v/>
      </c>
      <c r="D94" s="9">
        <f>History_Data!B94+History_Data!C94+History_Data!D94+History_Data!E94+History_Data!F94</f>
        <v/>
      </c>
      <c r="E94" s="9">
        <f>History_Data!G94+History_Data!H94+History_Data!I94+History_Data!J94+History_Data!K94</f>
        <v/>
      </c>
      <c r="F94" s="9">
        <f>History_Data!L94</f>
        <v/>
      </c>
      <c r="G94" s="9">
        <f>History_Data!M94</f>
        <v/>
      </c>
      <c r="H94" s="9">
        <f>History_Data!N94</f>
        <v/>
      </c>
      <c r="I94" s="9">
        <f>History_Data!O94</f>
        <v/>
      </c>
      <c r="J94" s="9">
        <f>History_Data!P94</f>
        <v/>
      </c>
    </row>
    <row r="95">
      <c r="A95" s="11">
        <f>History_Data!A95</f>
        <v/>
      </c>
      <c r="B95" s="9">
        <f>History_Data!L95+History_Data!M95+History_Data!N95+History_Data!O95+History_Data!P95</f>
        <v/>
      </c>
      <c r="C95" s="9">
        <f>History_Data!AA95+History_Data!AB95+History_Data!AC95+History_Data!AD95+History_Data!AE95</f>
        <v/>
      </c>
      <c r="D95" s="9">
        <f>History_Data!B95+History_Data!C95+History_Data!D95+History_Data!E95+History_Data!F95</f>
        <v/>
      </c>
      <c r="E95" s="9">
        <f>History_Data!G95+History_Data!H95+History_Data!I95+History_Data!J95+History_Data!K95</f>
        <v/>
      </c>
      <c r="F95" s="9">
        <f>History_Data!L95</f>
        <v/>
      </c>
      <c r="G95" s="9">
        <f>History_Data!M95</f>
        <v/>
      </c>
      <c r="H95" s="9">
        <f>History_Data!N95</f>
        <v/>
      </c>
      <c r="I95" s="9">
        <f>History_Data!O95</f>
        <v/>
      </c>
      <c r="J95" s="9">
        <f>History_Data!P95</f>
        <v/>
      </c>
    </row>
    <row r="96">
      <c r="A96" s="11">
        <f>History_Data!A96</f>
        <v/>
      </c>
      <c r="B96" s="9">
        <f>History_Data!L96+History_Data!M96+History_Data!N96+History_Data!O96+History_Data!P96</f>
        <v/>
      </c>
      <c r="C96" s="9">
        <f>History_Data!AA96+History_Data!AB96+History_Data!AC96+History_Data!AD96+History_Data!AE96</f>
        <v/>
      </c>
      <c r="D96" s="9">
        <f>History_Data!B96+History_Data!C96+History_Data!D96+History_Data!E96+History_Data!F96</f>
        <v/>
      </c>
      <c r="E96" s="9">
        <f>History_Data!G96+History_Data!H96+History_Data!I96+History_Data!J96+History_Data!K96</f>
        <v/>
      </c>
      <c r="F96" s="9">
        <f>History_Data!L96</f>
        <v/>
      </c>
      <c r="G96" s="9">
        <f>History_Data!M96</f>
        <v/>
      </c>
      <c r="H96" s="9">
        <f>History_Data!N96</f>
        <v/>
      </c>
      <c r="I96" s="9">
        <f>History_Data!O96</f>
        <v/>
      </c>
      <c r="J96" s="9">
        <f>History_Data!P96</f>
        <v/>
      </c>
    </row>
    <row r="97">
      <c r="A97" s="11">
        <f>History_Data!A97</f>
        <v/>
      </c>
      <c r="B97" s="9">
        <f>History_Data!L97+History_Data!M97+History_Data!N97+History_Data!O97+History_Data!P97</f>
        <v/>
      </c>
      <c r="C97" s="9">
        <f>History_Data!AA97+History_Data!AB97+History_Data!AC97+History_Data!AD97+History_Data!AE97</f>
        <v/>
      </c>
      <c r="D97" s="9">
        <f>History_Data!B97+History_Data!C97+History_Data!D97+History_Data!E97+History_Data!F97</f>
        <v/>
      </c>
      <c r="E97" s="9">
        <f>History_Data!G97+History_Data!H97+History_Data!I97+History_Data!J97+History_Data!K97</f>
        <v/>
      </c>
      <c r="F97" s="9">
        <f>History_Data!L97</f>
        <v/>
      </c>
      <c r="G97" s="9">
        <f>History_Data!M97</f>
        <v/>
      </c>
      <c r="H97" s="9">
        <f>History_Data!N97</f>
        <v/>
      </c>
      <c r="I97" s="9">
        <f>History_Data!O97</f>
        <v/>
      </c>
      <c r="J97" s="9">
        <f>History_Data!P97</f>
        <v/>
      </c>
    </row>
    <row r="98">
      <c r="A98" s="11">
        <f>History_Data!A98</f>
        <v/>
      </c>
      <c r="B98" s="9">
        <f>History_Data!L98+History_Data!M98+History_Data!N98+History_Data!O98+History_Data!P98</f>
        <v/>
      </c>
      <c r="C98" s="9">
        <f>History_Data!AA98+History_Data!AB98+History_Data!AC98+History_Data!AD98+History_Data!AE98</f>
        <v/>
      </c>
      <c r="D98" s="9">
        <f>History_Data!B98+History_Data!C98+History_Data!D98+History_Data!E98+History_Data!F98</f>
        <v/>
      </c>
      <c r="E98" s="9">
        <f>History_Data!G98+History_Data!H98+History_Data!I98+History_Data!J98+History_Data!K98</f>
        <v/>
      </c>
      <c r="F98" s="9">
        <f>History_Data!L98</f>
        <v/>
      </c>
      <c r="G98" s="9">
        <f>History_Data!M98</f>
        <v/>
      </c>
      <c r="H98" s="9">
        <f>History_Data!N98</f>
        <v/>
      </c>
      <c r="I98" s="9">
        <f>History_Data!O98</f>
        <v/>
      </c>
      <c r="J98" s="9">
        <f>History_Data!P98</f>
        <v/>
      </c>
    </row>
    <row r="99">
      <c r="A99" s="11">
        <f>History_Data!A99</f>
        <v/>
      </c>
      <c r="B99" s="9">
        <f>History_Data!L99+History_Data!M99+History_Data!N99+History_Data!O99+History_Data!P99</f>
        <v/>
      </c>
      <c r="C99" s="9">
        <f>History_Data!AA99+History_Data!AB99+History_Data!AC99+History_Data!AD99+History_Data!AE99</f>
        <v/>
      </c>
      <c r="D99" s="9">
        <f>History_Data!B99+History_Data!C99+History_Data!D99+History_Data!E99+History_Data!F99</f>
        <v/>
      </c>
      <c r="E99" s="9">
        <f>History_Data!G99+History_Data!H99+History_Data!I99+History_Data!J99+History_Data!K99</f>
        <v/>
      </c>
      <c r="F99" s="9">
        <f>History_Data!L99</f>
        <v/>
      </c>
      <c r="G99" s="9">
        <f>History_Data!M99</f>
        <v/>
      </c>
      <c r="H99" s="9">
        <f>History_Data!N99</f>
        <v/>
      </c>
      <c r="I99" s="9">
        <f>History_Data!O99</f>
        <v/>
      </c>
      <c r="J99" s="9">
        <f>History_Data!P99</f>
        <v/>
      </c>
    </row>
    <row r="100">
      <c r="A100" s="11">
        <f>History_Data!A100</f>
        <v/>
      </c>
      <c r="B100" s="9">
        <f>History_Data!L100+History_Data!M100+History_Data!N100+History_Data!O100+History_Data!P100</f>
        <v/>
      </c>
      <c r="C100" s="9">
        <f>History_Data!AA100+History_Data!AB100+History_Data!AC100+History_Data!AD100+History_Data!AE100</f>
        <v/>
      </c>
      <c r="D100" s="9">
        <f>History_Data!B100+History_Data!C100+History_Data!D100+History_Data!E100+History_Data!F100</f>
        <v/>
      </c>
      <c r="E100" s="9">
        <f>History_Data!G100+History_Data!H100+History_Data!I100+History_Data!J100+History_Data!K100</f>
        <v/>
      </c>
      <c r="F100" s="9">
        <f>History_Data!L100</f>
        <v/>
      </c>
      <c r="G100" s="9">
        <f>History_Data!M100</f>
        <v/>
      </c>
      <c r="H100" s="9">
        <f>History_Data!N100</f>
        <v/>
      </c>
      <c r="I100" s="9">
        <f>History_Data!O100</f>
        <v/>
      </c>
      <c r="J100" s="9">
        <f>History_Data!P100</f>
        <v/>
      </c>
    </row>
    <row r="101">
      <c r="A101" s="11">
        <f>History_Data!A101</f>
        <v/>
      </c>
      <c r="B101" s="9">
        <f>History_Data!L101+History_Data!M101+History_Data!N101+History_Data!O101+History_Data!P101</f>
        <v/>
      </c>
      <c r="C101" s="9">
        <f>History_Data!AA101+History_Data!AB101+History_Data!AC101+History_Data!AD101+History_Data!AE101</f>
        <v/>
      </c>
      <c r="D101" s="9">
        <f>History_Data!B101+History_Data!C101+History_Data!D101+History_Data!E101+History_Data!F101</f>
        <v/>
      </c>
      <c r="E101" s="9">
        <f>History_Data!G101+History_Data!H101+History_Data!I101+History_Data!J101+History_Data!K101</f>
        <v/>
      </c>
      <c r="F101" s="9">
        <f>History_Data!L101</f>
        <v/>
      </c>
      <c r="G101" s="9">
        <f>History_Data!M101</f>
        <v/>
      </c>
      <c r="H101" s="9">
        <f>History_Data!N101</f>
        <v/>
      </c>
      <c r="I101" s="9">
        <f>History_Data!O101</f>
        <v/>
      </c>
      <c r="J101" s="9">
        <f>History_Data!P101</f>
        <v/>
      </c>
    </row>
    <row r="102">
      <c r="A102" s="11">
        <f>History_Data!A102</f>
        <v/>
      </c>
      <c r="B102" s="9">
        <f>History_Data!L102+History_Data!M102+History_Data!N102+History_Data!O102+History_Data!P102</f>
        <v/>
      </c>
      <c r="C102" s="9">
        <f>History_Data!AA102+History_Data!AB102+History_Data!AC102+History_Data!AD102+History_Data!AE102</f>
        <v/>
      </c>
      <c r="D102" s="9">
        <f>History_Data!B102+History_Data!C102+History_Data!D102+History_Data!E102+History_Data!F102</f>
        <v/>
      </c>
      <c r="E102" s="9">
        <f>History_Data!G102+History_Data!H102+History_Data!I102+History_Data!J102+History_Data!K102</f>
        <v/>
      </c>
      <c r="F102" s="9">
        <f>History_Data!L102</f>
        <v/>
      </c>
      <c r="G102" s="9">
        <f>History_Data!M102</f>
        <v/>
      </c>
      <c r="H102" s="9">
        <f>History_Data!N102</f>
        <v/>
      </c>
      <c r="I102" s="9">
        <f>History_Data!O102</f>
        <v/>
      </c>
      <c r="J102" s="9">
        <f>History_Data!P102</f>
        <v/>
      </c>
    </row>
    <row r="103">
      <c r="A103" s="11">
        <f>History_Data!A103</f>
        <v/>
      </c>
      <c r="B103" s="9">
        <f>History_Data!L103+History_Data!M103+History_Data!N103+History_Data!O103+History_Data!P103</f>
        <v/>
      </c>
      <c r="C103" s="9">
        <f>History_Data!AA103+History_Data!AB103+History_Data!AC103+History_Data!AD103+History_Data!AE103</f>
        <v/>
      </c>
      <c r="D103" s="9">
        <f>History_Data!B103+History_Data!C103+History_Data!D103+History_Data!E103+History_Data!F103</f>
        <v/>
      </c>
      <c r="E103" s="9">
        <f>History_Data!G103+History_Data!H103+History_Data!I103+History_Data!J103+History_Data!K103</f>
        <v/>
      </c>
      <c r="F103" s="9">
        <f>History_Data!L103</f>
        <v/>
      </c>
      <c r="G103" s="9">
        <f>History_Data!M103</f>
        <v/>
      </c>
      <c r="H103" s="9">
        <f>History_Data!N103</f>
        <v/>
      </c>
      <c r="I103" s="9">
        <f>History_Data!O103</f>
        <v/>
      </c>
      <c r="J103" s="9">
        <f>History_Data!P103</f>
        <v/>
      </c>
    </row>
    <row r="104">
      <c r="A104" s="11">
        <f>History_Data!A104</f>
        <v/>
      </c>
      <c r="B104" s="9">
        <f>History_Data!L104+History_Data!M104+History_Data!N104+History_Data!O104+History_Data!P104</f>
        <v/>
      </c>
      <c r="C104" s="9">
        <f>History_Data!AA104+History_Data!AB104+History_Data!AC104+History_Data!AD104+History_Data!AE104</f>
        <v/>
      </c>
      <c r="D104" s="9">
        <f>History_Data!B104+History_Data!C104+History_Data!D104+History_Data!E104+History_Data!F104</f>
        <v/>
      </c>
      <c r="E104" s="9">
        <f>History_Data!G104+History_Data!H104+History_Data!I104+History_Data!J104+History_Data!K104</f>
        <v/>
      </c>
      <c r="F104" s="9">
        <f>History_Data!L104</f>
        <v/>
      </c>
      <c r="G104" s="9">
        <f>History_Data!M104</f>
        <v/>
      </c>
      <c r="H104" s="9">
        <f>History_Data!N104</f>
        <v/>
      </c>
      <c r="I104" s="9">
        <f>History_Data!O104</f>
        <v/>
      </c>
      <c r="J104" s="9">
        <f>History_Data!P104</f>
        <v/>
      </c>
    </row>
    <row r="105">
      <c r="A105" s="11">
        <f>History_Data!A105</f>
        <v/>
      </c>
      <c r="B105" s="9">
        <f>History_Data!L105+History_Data!M105+History_Data!N105+History_Data!O105+History_Data!P105</f>
        <v/>
      </c>
      <c r="C105" s="9">
        <f>History_Data!AA105+History_Data!AB105+History_Data!AC105+History_Data!AD105+History_Data!AE105</f>
        <v/>
      </c>
      <c r="D105" s="9">
        <f>History_Data!B105+History_Data!C105+History_Data!D105+History_Data!E105+History_Data!F105</f>
        <v/>
      </c>
      <c r="E105" s="9">
        <f>History_Data!G105+History_Data!H105+History_Data!I105+History_Data!J105+History_Data!K105</f>
        <v/>
      </c>
      <c r="F105" s="9">
        <f>History_Data!L105</f>
        <v/>
      </c>
      <c r="G105" s="9">
        <f>History_Data!M105</f>
        <v/>
      </c>
      <c r="H105" s="9">
        <f>History_Data!N105</f>
        <v/>
      </c>
      <c r="I105" s="9">
        <f>History_Data!O105</f>
        <v/>
      </c>
      <c r="J105" s="9">
        <f>History_Data!P105</f>
        <v/>
      </c>
    </row>
    <row r="106">
      <c r="A106" s="11">
        <f>History_Data!A106</f>
        <v/>
      </c>
      <c r="B106" s="9">
        <f>History_Data!L106+History_Data!M106+History_Data!N106+History_Data!O106+History_Data!P106</f>
        <v/>
      </c>
      <c r="C106" s="9">
        <f>History_Data!AA106+History_Data!AB106+History_Data!AC106+History_Data!AD106+History_Data!AE106</f>
        <v/>
      </c>
      <c r="D106" s="9">
        <f>History_Data!B106+History_Data!C106+History_Data!D106+History_Data!E106+History_Data!F106</f>
        <v/>
      </c>
      <c r="E106" s="9">
        <f>History_Data!G106+History_Data!H106+History_Data!I106+History_Data!J106+History_Data!K106</f>
        <v/>
      </c>
      <c r="F106" s="9">
        <f>History_Data!L106</f>
        <v/>
      </c>
      <c r="G106" s="9">
        <f>History_Data!M106</f>
        <v/>
      </c>
      <c r="H106" s="9">
        <f>History_Data!N106</f>
        <v/>
      </c>
      <c r="I106" s="9">
        <f>History_Data!O106</f>
        <v/>
      </c>
      <c r="J106" s="9">
        <f>History_Data!P106</f>
        <v/>
      </c>
    </row>
    <row r="107">
      <c r="A107" s="11">
        <f>History_Data!A107</f>
        <v/>
      </c>
      <c r="B107" s="9">
        <f>History_Data!L107+History_Data!M107+History_Data!N107+History_Data!O107+History_Data!P107</f>
        <v/>
      </c>
      <c r="C107" s="9">
        <f>History_Data!AA107+History_Data!AB107+History_Data!AC107+History_Data!AD107+History_Data!AE107</f>
        <v/>
      </c>
      <c r="D107" s="9">
        <f>History_Data!B107+History_Data!C107+History_Data!D107+History_Data!E107+History_Data!F107</f>
        <v/>
      </c>
      <c r="E107" s="9">
        <f>History_Data!G107+History_Data!H107+History_Data!I107+History_Data!J107+History_Data!K107</f>
        <v/>
      </c>
      <c r="F107" s="9">
        <f>History_Data!L107</f>
        <v/>
      </c>
      <c r="G107" s="9">
        <f>History_Data!M107</f>
        <v/>
      </c>
      <c r="H107" s="9">
        <f>History_Data!N107</f>
        <v/>
      </c>
      <c r="I107" s="9">
        <f>History_Data!O107</f>
        <v/>
      </c>
      <c r="J107" s="9">
        <f>History_Data!P107</f>
        <v/>
      </c>
    </row>
    <row r="108">
      <c r="A108" s="11">
        <f>History_Data!A108</f>
        <v/>
      </c>
      <c r="B108" s="9">
        <f>History_Data!L108+History_Data!M108+History_Data!N108+History_Data!O108+History_Data!P108</f>
        <v/>
      </c>
      <c r="C108" s="9">
        <f>History_Data!AA108+History_Data!AB108+History_Data!AC108+History_Data!AD108+History_Data!AE108</f>
        <v/>
      </c>
      <c r="D108" s="9">
        <f>History_Data!B108+History_Data!C108+History_Data!D108+History_Data!E108+History_Data!F108</f>
        <v/>
      </c>
      <c r="E108" s="9">
        <f>History_Data!G108+History_Data!H108+History_Data!I108+History_Data!J108+History_Data!K108</f>
        <v/>
      </c>
      <c r="F108" s="9">
        <f>History_Data!L108</f>
        <v/>
      </c>
      <c r="G108" s="9">
        <f>History_Data!M108</f>
        <v/>
      </c>
      <c r="H108" s="9">
        <f>History_Data!N108</f>
        <v/>
      </c>
      <c r="I108" s="9">
        <f>History_Data!O108</f>
        <v/>
      </c>
      <c r="J108" s="9">
        <f>History_Data!P108</f>
        <v/>
      </c>
    </row>
    <row r="109">
      <c r="A109" s="11">
        <f>History_Data!A109</f>
        <v/>
      </c>
      <c r="B109" s="9">
        <f>History_Data!L109+History_Data!M109+History_Data!N109+History_Data!O109+History_Data!P109</f>
        <v/>
      </c>
      <c r="C109" s="9">
        <f>History_Data!AA109+History_Data!AB109+History_Data!AC109+History_Data!AD109+History_Data!AE109</f>
        <v/>
      </c>
      <c r="D109" s="9">
        <f>History_Data!B109+History_Data!C109+History_Data!D109+History_Data!E109+History_Data!F109</f>
        <v/>
      </c>
      <c r="E109" s="9">
        <f>History_Data!G109+History_Data!H109+History_Data!I109+History_Data!J109+History_Data!K109</f>
        <v/>
      </c>
      <c r="F109" s="9">
        <f>History_Data!L109</f>
        <v/>
      </c>
      <c r="G109" s="9">
        <f>History_Data!M109</f>
        <v/>
      </c>
      <c r="H109" s="9">
        <f>History_Data!N109</f>
        <v/>
      </c>
      <c r="I109" s="9">
        <f>History_Data!O109</f>
        <v/>
      </c>
      <c r="J109" s="9">
        <f>History_Data!P109</f>
        <v/>
      </c>
    </row>
    <row r="110">
      <c r="A110" s="11">
        <f>History_Data!A110</f>
        <v/>
      </c>
      <c r="B110" s="9">
        <f>History_Data!L110+History_Data!M110+History_Data!N110+History_Data!O110+History_Data!P110</f>
        <v/>
      </c>
      <c r="C110" s="9">
        <f>History_Data!AA110+History_Data!AB110+History_Data!AC110+History_Data!AD110+History_Data!AE110</f>
        <v/>
      </c>
      <c r="D110" s="9">
        <f>History_Data!B110+History_Data!C110+History_Data!D110+History_Data!E110+History_Data!F110</f>
        <v/>
      </c>
      <c r="E110" s="9">
        <f>History_Data!G110+History_Data!H110+History_Data!I110+History_Data!J110+History_Data!K110</f>
        <v/>
      </c>
      <c r="F110" s="9">
        <f>History_Data!L110</f>
        <v/>
      </c>
      <c r="G110" s="9">
        <f>History_Data!M110</f>
        <v/>
      </c>
      <c r="H110" s="9">
        <f>History_Data!N110</f>
        <v/>
      </c>
      <c r="I110" s="9">
        <f>History_Data!O110</f>
        <v/>
      </c>
      <c r="J110" s="9">
        <f>History_Data!P110</f>
        <v/>
      </c>
    </row>
    <row r="111">
      <c r="A111" s="11">
        <f>History_Data!A111</f>
        <v/>
      </c>
      <c r="B111" s="9">
        <f>History_Data!L111+History_Data!M111+History_Data!N111+History_Data!O111+History_Data!P111</f>
        <v/>
      </c>
      <c r="C111" s="9">
        <f>History_Data!AA111+History_Data!AB111+History_Data!AC111+History_Data!AD111+History_Data!AE111</f>
        <v/>
      </c>
      <c r="D111" s="9">
        <f>History_Data!B111+History_Data!C111+History_Data!D111+History_Data!E111+History_Data!F111</f>
        <v/>
      </c>
      <c r="E111" s="9">
        <f>History_Data!G111+History_Data!H111+History_Data!I111+History_Data!J111+History_Data!K111</f>
        <v/>
      </c>
      <c r="F111" s="9">
        <f>History_Data!L111</f>
        <v/>
      </c>
      <c r="G111" s="9">
        <f>History_Data!M111</f>
        <v/>
      </c>
      <c r="H111" s="9">
        <f>History_Data!N111</f>
        <v/>
      </c>
      <c r="I111" s="9">
        <f>History_Data!O111</f>
        <v/>
      </c>
      <c r="J111" s="9">
        <f>History_Data!P111</f>
        <v/>
      </c>
    </row>
    <row r="112">
      <c r="A112" s="11">
        <f>History_Data!A112</f>
        <v/>
      </c>
      <c r="B112" s="9">
        <f>History_Data!L112+History_Data!M112+History_Data!N112+History_Data!O112+History_Data!P112</f>
        <v/>
      </c>
      <c r="C112" s="9">
        <f>History_Data!AA112+History_Data!AB112+History_Data!AC112+History_Data!AD112+History_Data!AE112</f>
        <v/>
      </c>
      <c r="D112" s="9">
        <f>History_Data!B112+History_Data!C112+History_Data!D112+History_Data!E112+History_Data!F112</f>
        <v/>
      </c>
      <c r="E112" s="9">
        <f>History_Data!G112+History_Data!H112+History_Data!I112+History_Data!J112+History_Data!K112</f>
        <v/>
      </c>
      <c r="F112" s="9">
        <f>History_Data!L112</f>
        <v/>
      </c>
      <c r="G112" s="9">
        <f>History_Data!M112</f>
        <v/>
      </c>
      <c r="H112" s="9">
        <f>History_Data!N112</f>
        <v/>
      </c>
      <c r="I112" s="9">
        <f>History_Data!O112</f>
        <v/>
      </c>
      <c r="J112" s="9">
        <f>History_Data!P112</f>
        <v/>
      </c>
    </row>
    <row r="113">
      <c r="A113" s="11">
        <f>History_Data!A113</f>
        <v/>
      </c>
      <c r="B113" s="9">
        <f>History_Data!L113+History_Data!M113+History_Data!N113+History_Data!O113+History_Data!P113</f>
        <v/>
      </c>
      <c r="C113" s="9">
        <f>History_Data!AA113+History_Data!AB113+History_Data!AC113+History_Data!AD113+History_Data!AE113</f>
        <v/>
      </c>
      <c r="D113" s="9">
        <f>History_Data!B113+History_Data!C113+History_Data!D113+History_Data!E113+History_Data!F113</f>
        <v/>
      </c>
      <c r="E113" s="9">
        <f>History_Data!G113+History_Data!H113+History_Data!I113+History_Data!J113+History_Data!K113</f>
        <v/>
      </c>
      <c r="F113" s="9">
        <f>History_Data!L113</f>
        <v/>
      </c>
      <c r="G113" s="9">
        <f>History_Data!M113</f>
        <v/>
      </c>
      <c r="H113" s="9">
        <f>History_Data!N113</f>
        <v/>
      </c>
      <c r="I113" s="9">
        <f>History_Data!O113</f>
        <v/>
      </c>
      <c r="J113" s="9">
        <f>History_Data!P113</f>
        <v/>
      </c>
    </row>
    <row r="114">
      <c r="A114" s="11">
        <f>History_Data!A114</f>
        <v/>
      </c>
      <c r="B114" s="9">
        <f>History_Data!L114+History_Data!M114+History_Data!N114+History_Data!O114+History_Data!P114</f>
        <v/>
      </c>
      <c r="C114" s="9">
        <f>History_Data!AA114+History_Data!AB114+History_Data!AC114+History_Data!AD114+History_Data!AE114</f>
        <v/>
      </c>
      <c r="D114" s="9">
        <f>History_Data!B114+History_Data!C114+History_Data!D114+History_Data!E114+History_Data!F114</f>
        <v/>
      </c>
      <c r="E114" s="9">
        <f>History_Data!G114+History_Data!H114+History_Data!I114+History_Data!J114+History_Data!K114</f>
        <v/>
      </c>
      <c r="F114" s="9">
        <f>History_Data!L114</f>
        <v/>
      </c>
      <c r="G114" s="9">
        <f>History_Data!M114</f>
        <v/>
      </c>
      <c r="H114" s="9">
        <f>History_Data!N114</f>
        <v/>
      </c>
      <c r="I114" s="9">
        <f>History_Data!O114</f>
        <v/>
      </c>
      <c r="J114" s="9">
        <f>History_Data!P114</f>
        <v/>
      </c>
    </row>
    <row r="115">
      <c r="A115" s="11">
        <f>History_Data!A115</f>
        <v/>
      </c>
      <c r="B115" s="9">
        <f>History_Data!L115+History_Data!M115+History_Data!N115+History_Data!O115+History_Data!P115</f>
        <v/>
      </c>
      <c r="C115" s="9">
        <f>History_Data!AA115+History_Data!AB115+History_Data!AC115+History_Data!AD115+History_Data!AE115</f>
        <v/>
      </c>
      <c r="D115" s="9">
        <f>History_Data!B115+History_Data!C115+History_Data!D115+History_Data!E115+History_Data!F115</f>
        <v/>
      </c>
      <c r="E115" s="9">
        <f>History_Data!G115+History_Data!H115+History_Data!I115+History_Data!J115+History_Data!K115</f>
        <v/>
      </c>
      <c r="F115" s="9">
        <f>History_Data!L115</f>
        <v/>
      </c>
      <c r="G115" s="9">
        <f>History_Data!M115</f>
        <v/>
      </c>
      <c r="H115" s="9">
        <f>History_Data!N115</f>
        <v/>
      </c>
      <c r="I115" s="9">
        <f>History_Data!O115</f>
        <v/>
      </c>
      <c r="J115" s="9">
        <f>History_Data!P115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8" customWidth="1" min="4" max="4"/>
    <col width="18" customWidth="1" min="5" max="5"/>
    <col width="20" customWidth="1" min="6" max="6"/>
    <col width="12" customWidth="1" min="7" max="7"/>
  </cols>
  <sheetData>
    <row r="1">
      <c r="A1" s="14" t="inlineStr">
        <is>
          <t>What-If Lump-Sum Comparison</t>
        </is>
      </c>
    </row>
    <row r="3">
      <c r="A3" s="15" t="inlineStr">
        <is>
          <t>Start Date</t>
        </is>
      </c>
      <c r="B3" s="16">
        <f>Settings!B3</f>
        <v/>
      </c>
    </row>
    <row r="4">
      <c r="A4" s="15" t="inlineStr">
        <is>
          <t>Investment Amount</t>
        </is>
      </c>
      <c r="B4" s="17">
        <f>Settings!B4</f>
        <v/>
      </c>
    </row>
    <row r="5">
      <c r="A5" s="15" t="inlineStr">
        <is>
          <t>Actual Portfolio Total (IRT)</t>
        </is>
      </c>
      <c r="B5" s="17">
        <f>Dashboard!B4</f>
        <v/>
      </c>
    </row>
    <row r="8">
      <c r="A8" s="7" t="inlineStr">
        <is>
          <t>Asset</t>
        </is>
      </c>
      <c r="B8" s="7" t="inlineStr">
        <is>
          <t>Price Key</t>
        </is>
      </c>
      <c r="C8" s="7" t="inlineStr">
        <is>
          <t>Start Price</t>
        </is>
      </c>
      <c r="D8" s="7" t="inlineStr">
        <is>
          <t>Latest Price</t>
        </is>
      </c>
      <c r="E8" s="7" t="inlineStr">
        <is>
          <t>Units Bought</t>
        </is>
      </c>
      <c r="F8" s="7" t="inlineStr">
        <is>
          <t>Current Value</t>
        </is>
      </c>
      <c r="G8" s="7" t="inlineStr">
        <is>
          <t>Return %</t>
        </is>
      </c>
    </row>
    <row r="9">
      <c r="A9" s="18" t="inlineStr">
        <is>
          <t>Bitcoin</t>
        </is>
      </c>
      <c r="B9" s="18" t="inlineStr">
        <is>
          <t>bitcoin_usd</t>
        </is>
      </c>
      <c r="C9" s="19">
        <f>IFERROR(XLOOKUP($B$3,History_Data!$A$2:$A$115,History_Data!$B$2:$B$115,"",1),"")</f>
        <v/>
      </c>
      <c r="D9" s="19" t="n">
        <v>64018</v>
      </c>
      <c r="E9" s="19">
        <f>IFERROR($B$4/C9,0)</f>
        <v/>
      </c>
      <c r="F9" s="19">
        <f>IFERROR(E9*D9,0)</f>
        <v/>
      </c>
      <c r="G9" s="20">
        <f>IFERROR(F9/$B$4-1,0)</f>
        <v/>
      </c>
    </row>
    <row r="10">
      <c r="A10" s="18" t="inlineStr">
        <is>
          <t>Tether</t>
        </is>
      </c>
      <c r="B10" s="18" t="inlineStr">
        <is>
          <t>usdt_irt</t>
        </is>
      </c>
      <c r="C10" s="19">
        <f>IFERROR(XLOOKUP($B$3,History_Data!$A$2:$A$115,History_Data!$C$2:$C$115,"",1),"")</f>
        <v/>
      </c>
      <c r="D10" s="19" t="n">
        <v>193400</v>
      </c>
      <c r="E10" s="19">
        <f>IFERROR($B$4/C10,0)</f>
        <v/>
      </c>
      <c r="F10" s="19">
        <f>IFERROR(E10*D10,0)</f>
        <v/>
      </c>
      <c r="G10" s="20">
        <f>IFERROR(F10/$B$4-1,0)</f>
        <v/>
      </c>
    </row>
    <row r="11">
      <c r="A11" s="18" t="inlineStr">
        <is>
          <t>US Dollar</t>
        </is>
      </c>
      <c r="B11" s="18" t="inlineStr">
        <is>
          <t>usd_cash</t>
        </is>
      </c>
      <c r="C11" s="19">
        <f>IFERROR(XLOOKUP($B$3,History_Data!$A$2:$A$115,History_Data!$D$2:$D$115,"",1),"")</f>
        <v/>
      </c>
      <c r="D11" s="19" t="n">
        <v>193400</v>
      </c>
      <c r="E11" s="19">
        <f>IFERROR($B$4/C11,0)</f>
        <v/>
      </c>
      <c r="F11" s="19">
        <f>IFERROR(E11*D11,0)</f>
        <v/>
      </c>
      <c r="G11" s="20">
        <f>IFERROR(F11/$B$4-1,0)</f>
        <v/>
      </c>
    </row>
    <row r="12">
      <c r="A12" s="18" t="inlineStr">
        <is>
          <t>Emami Coin</t>
        </is>
      </c>
      <c r="B12" s="18" t="inlineStr">
        <is>
          <t>emami_coin</t>
        </is>
      </c>
      <c r="C12" s="19">
        <f>IFERROR(XLOOKUP($B$3,History_Data!$A$2:$A$115,History_Data!$E$2:$E$115,"",1),"")</f>
        <v/>
      </c>
      <c r="D12" s="19" t="n">
        <v>188510000</v>
      </c>
      <c r="E12" s="19">
        <f>IFERROR($B$4/C12,0)</f>
        <v/>
      </c>
      <c r="F12" s="19">
        <f>IFERROR(E12*D12,0)</f>
        <v/>
      </c>
      <c r="G12" s="20">
        <f>IFERROR(F12/$B$4-1,0)</f>
        <v/>
      </c>
    </row>
    <row r="13">
      <c r="A13" s="18" t="inlineStr">
        <is>
          <t>Half Coin</t>
        </is>
      </c>
      <c r="B13" s="18" t="inlineStr">
        <is>
          <t>half_coin</t>
        </is>
      </c>
      <c r="C13" s="19">
        <f>IFERROR(XLOOKUP($B$3,History_Data!$A$2:$A$115,History_Data!$F$2:$F$115,"",1),"")</f>
        <v/>
      </c>
      <c r="D13" s="19" t="n">
        <v>95940000</v>
      </c>
      <c r="E13" s="19">
        <f>IFERROR($B$4/C13,0)</f>
        <v/>
      </c>
      <c r="F13" s="19">
        <f>IFERROR(E13*D13,0)</f>
        <v/>
      </c>
      <c r="G13" s="20">
        <f>IFERROR(F13/$B$4-1,0)</f>
        <v/>
      </c>
    </row>
    <row r="14">
      <c r="A14" s="18" t="inlineStr">
        <is>
          <t>Quarter Coin</t>
        </is>
      </c>
      <c r="B14" s="18" t="inlineStr">
        <is>
          <t>quarter_coin</t>
        </is>
      </c>
      <c r="C14" s="19">
        <f>IFERROR(XLOOKUP($B$3,History_Data!$A$2:$A$115,History_Data!$G$2:$G$115,"",1),"")</f>
        <v/>
      </c>
      <c r="D14" s="19" t="n">
        <v>54060000</v>
      </c>
      <c r="E14" s="19">
        <f>IFERROR($B$4/C14,0)</f>
        <v/>
      </c>
      <c r="F14" s="19">
        <f>IFERROR(E14*D14,0)</f>
        <v/>
      </c>
      <c r="G14" s="20">
        <f>IFERROR(F14/$B$4-1,0)</f>
        <v/>
      </c>
    </row>
    <row r="15">
      <c r="A15" s="18" t="inlineStr">
        <is>
          <t>Quarter Coin (Pre-86)</t>
        </is>
      </c>
      <c r="B15" s="18" t="inlineStr">
        <is>
          <t>quarter_coin_pre86</t>
        </is>
      </c>
      <c r="C15" s="19">
        <f>IFERROR(XLOOKUP($B$3,History_Data!$A$2:$A$115,History_Data!$H$2:$H$115,"",1),"")</f>
        <v/>
      </c>
      <c r="D15" s="19" t="n">
        <v>47000355</v>
      </c>
      <c r="E15" s="19">
        <f>IFERROR($B$4/C15,0)</f>
        <v/>
      </c>
      <c r="F15" s="19">
        <f>IFERROR(E15*D15,0)</f>
        <v/>
      </c>
      <c r="G15" s="20">
        <f>IFERROR(F15/$B$4-1,0)</f>
        <v/>
      </c>
    </row>
    <row r="16">
      <c r="A16" s="18" t="inlineStr">
        <is>
          <t>Swiss Gold Bar (1g)</t>
        </is>
      </c>
      <c r="B16" s="18" t="inlineStr">
        <is>
          <t>swiss_gold_bar_1g</t>
        </is>
      </c>
      <c r="C16" s="19">
        <f>IFERROR(XLOOKUP($B$3,History_Data!$A$2:$A$115,History_Data!$I$2:$I$115,"",1),"")</f>
        <v/>
      </c>
      <c r="D16" s="19" t="n">
        <v>25900000</v>
      </c>
      <c r="E16" s="19">
        <f>IFERROR($B$4/C16,0)</f>
        <v/>
      </c>
      <c r="F16" s="19">
        <f>IFERROR(E16*D16,0)</f>
        <v/>
      </c>
      <c r="G16" s="20">
        <f>IFERROR(F16/$B$4-1,0)</f>
        <v/>
      </c>
    </row>
    <row r="17">
      <c r="A17" s="18" t="inlineStr">
        <is>
          <t>Swiss Gold Bar (2.5g)</t>
        </is>
      </c>
      <c r="B17" s="18" t="inlineStr">
        <is>
          <t>swiss_gold_bar_2_5g</t>
        </is>
      </c>
      <c r="C17" s="19">
        <f>IFERROR(XLOOKUP($B$3,History_Data!$A$2:$A$115,History_Data!$J$2:$J$115,"",1),"")</f>
        <v/>
      </c>
      <c r="D17" s="19" t="n">
        <v>61610000</v>
      </c>
      <c r="E17" s="19">
        <f>IFERROR($B$4/C17,0)</f>
        <v/>
      </c>
      <c r="F17" s="19">
        <f>IFERROR(E17*D17,0)</f>
        <v/>
      </c>
      <c r="G17" s="20">
        <f>IFERROR(F17/$B$4-1,0)</f>
        <v/>
      </c>
    </row>
    <row r="18">
      <c r="A18" s="18" t="inlineStr">
        <is>
          <t>1g Coin</t>
        </is>
      </c>
      <c r="B18" s="18" t="inlineStr">
        <is>
          <t>one_gram_coin</t>
        </is>
      </c>
      <c r="C18" s="19">
        <f>IFERROR(XLOOKUP($B$3,History_Data!$A$2:$A$115,History_Data!$K$2:$K$115,"",1),"")</f>
        <v/>
      </c>
      <c r="D18" s="19" t="n">
        <v>28500000</v>
      </c>
      <c r="E18" s="19">
        <f>IFERROR($B$4/C18,0)</f>
        <v/>
      </c>
      <c r="F18" s="19">
        <f>IFERROR(E18*D18,0)</f>
        <v/>
      </c>
      <c r="G18" s="20">
        <f>IFERROR(F18/$B$4-1,0)</f>
        <v/>
      </c>
    </row>
    <row r="19">
      <c r="A19" s="18" t="inlineStr">
        <is>
          <t>Gold Gram (18K)</t>
        </is>
      </c>
      <c r="B19" s="18" t="inlineStr">
        <is>
          <t>gold_18k_gram</t>
        </is>
      </c>
      <c r="C19" s="19">
        <f>IFERROR(XLOOKUP($B$3,History_Data!$A$2:$A$115,History_Data!$L$2:$L$115,"",1),"")</f>
        <v/>
      </c>
      <c r="D19" s="19" t="n">
        <v>18894900</v>
      </c>
      <c r="E19" s="19">
        <f>IFERROR($B$4/C19,0)</f>
        <v/>
      </c>
      <c r="F19" s="19">
        <f>IFERROR(E19*D19,0)</f>
        <v/>
      </c>
      <c r="G19" s="20">
        <f>IFERROR(F19/$B$4-1,0)</f>
        <v/>
      </c>
    </row>
    <row r="20">
      <c r="A20" s="18" t="inlineStr">
        <is>
          <t>KAMA Stock</t>
        </is>
      </c>
      <c r="B20" s="18" t="inlineStr">
        <is>
          <t>kama_stock</t>
        </is>
      </c>
      <c r="C20" s="19">
        <f>IFERROR(XLOOKUP($B$3,History_Data!$A$2:$A$115,History_Data!$M$2:$M$115,"",1),"")</f>
        <v/>
      </c>
      <c r="D20" s="19" t="n">
        <v>2807</v>
      </c>
      <c r="E20" s="19">
        <f>IFERROR($B$4/C20,0)</f>
        <v/>
      </c>
      <c r="F20" s="19">
        <f>IFERROR(E20*D20,0)</f>
        <v/>
      </c>
      <c r="G20" s="20">
        <f>IFERROR(F20/$B$4-1,0)</f>
        <v/>
      </c>
    </row>
    <row r="21">
      <c r="A21" s="18" t="inlineStr">
        <is>
          <t>Euro</t>
        </is>
      </c>
      <c r="B21" s="18" t="inlineStr">
        <is>
          <t>euro_cash</t>
        </is>
      </c>
      <c r="C21" s="19">
        <f>IFERROR(XLOOKUP($B$3,History_Data!$A$2:$A$115,History_Data!$N$2:$N$115,"",1),"")</f>
        <v/>
      </c>
      <c r="D21" s="19" t="n">
        <v>221780</v>
      </c>
      <c r="E21" s="19">
        <f>IFERROR($B$4/C21,0)</f>
        <v/>
      </c>
      <c r="F21" s="19">
        <f>IFERROR(E21*D21,0)</f>
        <v/>
      </c>
      <c r="G21" s="20">
        <f>IFERROR(F21/$B$4-1,0)</f>
        <v/>
      </c>
    </row>
    <row r="22">
      <c r="A22" s="18" t="inlineStr">
        <is>
          <t>Gold Ounce (Global)</t>
        </is>
      </c>
      <c r="B22" s="18" t="inlineStr">
        <is>
          <t>gold_ounce_usd</t>
        </is>
      </c>
      <c r="C22" s="19">
        <f>IFERROR(XLOOKUP($B$3,History_Data!$A$2:$A$115,History_Data!$O$2:$O$115,"",1),"")</f>
        <v/>
      </c>
      <c r="D22" s="19" t="n">
        <v>4017</v>
      </c>
      <c r="E22" s="19">
        <f>IFERROR($B$4/C22,0)</f>
        <v/>
      </c>
      <c r="F22" s="19">
        <f>IFERROR(E22*D22,0)</f>
        <v/>
      </c>
      <c r="G22" s="20">
        <f>IFERROR(F22/$B$4-1,0)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2026-07-18T13:47:18Z</dcterms:created>
  <dcterms:modified xsi:type="dcterms:W3CDTF">2026-07-18T13:47:18Z</dcterms:modified>
</cp:coreProperties>
</file>